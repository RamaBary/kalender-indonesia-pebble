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E6439FFE-C130-40AB-B2DE-8C017AA5C444}" xr6:coauthVersionLast="47" xr6:coauthVersionMax="47" xr10:uidLastSave="{00000000-0000-0000-0000-000000000000}"/>
  <bookViews>
    <workbookView xWindow="390" yWindow="390" windowWidth="17025" windowHeight="11070" xr2:uid="{A8A572CB-E760-44BB-8D39-A0074E4DAFF2}"/>
  </bookViews>
  <sheets>
    <sheet name="6 INT UN 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42" i="1" l="1"/>
  <c r="M42" i="1" s="1"/>
  <c r="I41" i="1"/>
  <c r="M41" i="1" s="1"/>
  <c r="M40" i="1"/>
  <c r="I40" i="1"/>
  <c r="L40" i="1" s="1"/>
  <c r="M39" i="1"/>
  <c r="L39" i="1"/>
  <c r="I39" i="1"/>
  <c r="I38" i="1"/>
  <c r="M38" i="1" s="1"/>
  <c r="I37" i="1"/>
  <c r="M37" i="1" s="1"/>
  <c r="M36" i="1"/>
  <c r="I36" i="1"/>
  <c r="L36" i="1" s="1"/>
  <c r="M35" i="1"/>
  <c r="L35" i="1"/>
  <c r="I35" i="1"/>
  <c r="I34" i="1"/>
  <c r="M34" i="1" s="1"/>
  <c r="I33" i="1"/>
  <c r="M33" i="1" s="1"/>
  <c r="M32" i="1"/>
  <c r="I32" i="1"/>
  <c r="L32" i="1" s="1"/>
  <c r="M31" i="1"/>
  <c r="L31" i="1"/>
  <c r="I31" i="1"/>
  <c r="I30" i="1"/>
  <c r="M30" i="1" s="1"/>
  <c r="I29" i="1"/>
  <c r="M29" i="1" s="1"/>
  <c r="M28" i="1"/>
  <c r="I28" i="1"/>
  <c r="L28" i="1" s="1"/>
  <c r="M27" i="1"/>
  <c r="L27" i="1"/>
  <c r="I27" i="1"/>
  <c r="I26" i="1"/>
  <c r="M26" i="1" s="1"/>
  <c r="I25" i="1"/>
  <c r="M25" i="1" s="1"/>
  <c r="M24" i="1"/>
  <c r="I24" i="1"/>
  <c r="L24" i="1" s="1"/>
  <c r="M23" i="1"/>
  <c r="L23" i="1"/>
  <c r="I23" i="1"/>
  <c r="I22" i="1"/>
  <c r="M22" i="1" s="1"/>
  <c r="I21" i="1"/>
  <c r="M21" i="1" s="1"/>
  <c r="M20" i="1"/>
  <c r="I20" i="1"/>
  <c r="L20" i="1" s="1"/>
  <c r="M19" i="1"/>
  <c r="L19" i="1"/>
  <c r="I19" i="1"/>
  <c r="I18" i="1"/>
  <c r="M18" i="1" s="1"/>
  <c r="I17" i="1"/>
  <c r="M17" i="1" s="1"/>
  <c r="M16" i="1"/>
  <c r="I16" i="1"/>
  <c r="L16" i="1" s="1"/>
  <c r="M15" i="1"/>
  <c r="L15" i="1"/>
  <c r="I15" i="1"/>
  <c r="I14" i="1"/>
  <c r="M14" i="1" s="1"/>
  <c r="I13" i="1"/>
  <c r="M13" i="1" s="1"/>
  <c r="M12" i="1"/>
  <c r="I12" i="1"/>
  <c r="L12" i="1" s="1"/>
  <c r="M11" i="1"/>
  <c r="L11" i="1"/>
  <c r="I11" i="1"/>
  <c r="I10" i="1"/>
  <c r="M10" i="1" s="1"/>
  <c r="I9" i="1"/>
  <c r="M9" i="1" s="1"/>
  <c r="M8" i="1"/>
  <c r="I8" i="1"/>
  <c r="L8" i="1" s="1"/>
  <c r="M7" i="1"/>
  <c r="L7" i="1"/>
  <c r="I7" i="1"/>
  <c r="I6" i="1"/>
  <c r="L6" i="1" s="1"/>
  <c r="I5" i="1"/>
  <c r="M5" i="1" s="1"/>
  <c r="M4" i="1"/>
  <c r="I4" i="1"/>
  <c r="L4" i="1" s="1"/>
  <c r="M3" i="1"/>
  <c r="L3" i="1"/>
  <c r="I3" i="1"/>
  <c r="I2" i="1"/>
  <c r="M2" i="1" s="1"/>
  <c r="L2" i="1" l="1"/>
  <c r="L10" i="1"/>
  <c r="L14" i="1"/>
  <c r="L18" i="1"/>
  <c r="L22" i="1"/>
  <c r="L26" i="1"/>
  <c r="L30" i="1"/>
  <c r="L34" i="1"/>
  <c r="L38" i="1"/>
  <c r="L42" i="1"/>
  <c r="L5" i="1"/>
  <c r="M6" i="1"/>
  <c r="L9" i="1"/>
  <c r="L13" i="1"/>
  <c r="L17" i="1"/>
  <c r="L21" i="1"/>
  <c r="L25" i="1"/>
  <c r="L29" i="1"/>
  <c r="L33" i="1"/>
  <c r="L37" i="1"/>
  <c r="L41" i="1"/>
</calcChain>
</file>

<file path=xl/sharedStrings.xml><?xml version="1.0" encoding="utf-8"?>
<sst xmlns="http://schemas.openxmlformats.org/spreadsheetml/2006/main" count="136" uniqueCount="96">
  <si>
    <t>Tahun</t>
  </si>
  <si>
    <t>Bulan Mulai</t>
  </si>
  <si>
    <t>Bulan Selesai</t>
  </si>
  <si>
    <t>Hari Mulai</t>
  </si>
  <si>
    <t>Hari Selesai</t>
  </si>
  <si>
    <t>Tipe</t>
  </si>
  <si>
    <t>Subtipe</t>
  </si>
  <si>
    <t>Urut ID</t>
  </si>
  <si>
    <t>ID</t>
  </si>
  <si>
    <t>Judul Pendek</t>
  </si>
  <si>
    <t>Keterangan</t>
  </si>
  <si>
    <t>JSON Peristiwa</t>
  </si>
  <si>
    <t>JSON Keterangan</t>
  </si>
  <si>
    <t>UN</t>
  </si>
  <si>
    <t>World Braille Day</t>
  </si>
  <si>
    <t>Proclaimed by the UN General Assembly via resolution A/RES/73/161 to raise awareness of the importance of Braille as a means of communication in the full realization of human rights for blind and partially sighted individuals. It marks the birth anniversary of its inventor, Louis Braille.</t>
  </si>
  <si>
    <t>International Day of Education</t>
  </si>
  <si>
    <t>Established by the UN General Assembly under resolution A/RES/73/25 to celebrate and reiterate the crucial role of education as a public good and a primary driver for global peace, human development, and the achievement of the Sustainable Development Goals (SDGs).</t>
  </si>
  <si>
    <t>International Day of Clean Energy</t>
  </si>
  <si>
    <t>Adopted by UN resolution A/RES/77/327 to mobilize global action toward a just and inclusive transition to clean and renewable energy sources, mitigating climate change while ensuring universal energy access.</t>
  </si>
  <si>
    <t>World Wetlands Day</t>
  </si>
  <si>
    <t>Officially recognized by the UN via resolution A/RES/75/317 to raise global awareness about the vital role of wetlands, such as swamps and mangroves, in maintaining biodiversity, climate mitigation, and human well-being.</t>
  </si>
  <si>
    <t>World Cancer Day</t>
  </si>
  <si>
    <t>A global initiative led by the Union for International Cancer Control (UICC) and supported by the World Health Organization (WHO) to rally the international community to increase education, early detection, and equitable access to life-saving cancer treatment.</t>
  </si>
  <si>
    <t>World Radio Day</t>
  </si>
  <si>
    <t>Proclaimed by UNESCO and endorsed by the UN General Assembly via resolution A/RES/67/124 to celebrate radio as a powerful medium for promoting humanity, reaching remote communities, and fostering freedom of expression.</t>
  </si>
  <si>
    <t>International Mother Language Day</t>
  </si>
  <si>
    <t>Proclaimed by UNESCO to promote linguistic and cultural diversity, multilingualism, and the preservation of endangered native languages as an essential component of inclusive education and sustainable development.</t>
  </si>
  <si>
    <t>World Wildlife Day</t>
  </si>
  <si>
    <t>Proclaimed by the UN General Assembly via resolution A/RES/68/205 to celebrate the beautiful diversity of wild fauna and flora, and to raise awareness of the urgent need to step up the fight against wildlife crime and human-induced reduction of species.</t>
  </si>
  <si>
    <t>International Women's Day</t>
  </si>
  <si>
    <t>Recognized officially by the United Nations to celebrate the social, economic, cultural, and political achievements of women, while serving as a global call to action for accelerating gender equality and women's rights.</t>
  </si>
  <si>
    <t>Intl. Day Against Racial Discrim.</t>
  </si>
  <si>
    <t>Established by UN resolution A/RES/2142 (XXI) to commemorate the Sharpeville massacre and to call upon the international community to redouble its efforts to eliminate all forms of racial discrimination, systemic racism, and xenophobia.</t>
  </si>
  <si>
    <t>World Water Day</t>
  </si>
  <si>
    <t>Designated by UN resolution A/RES/47/193 to advocate for the sustainable management of freshwater resources and to address the global water crisis by accelerating access to clean water and sanitation for all.</t>
  </si>
  <si>
    <t>World Autism Awareness Day</t>
  </si>
  <si>
    <t>Adopted by UN resolution A/RES/62/139 to highlight the need to help improve the quality of life of individuals with autism so they can lead full and meaningful lives as an integral part of society.</t>
  </si>
  <si>
    <t>World Health Day</t>
  </si>
  <si>
    <t>A global health awareness day celebrated under the auspices of the World Health Organization (WHO) to mark its founding in 1948, focusing each year on a specific, high-priority public health issue affecting humanity.</t>
  </si>
  <si>
    <t>International Mother Earth Day</t>
  </si>
  <si>
    <t>Established by UN resolution A/RES/63/278 to remind mankind of our collective interdependence on planet Earth and to promote global harmony with nature to counter climate change, biodiversity loss, and pollution.</t>
  </si>
  <si>
    <t>World Press Freedom Day</t>
  </si>
  <si>
    <t>Proclaimed by the UN General Assembly to celebrate the fundamental principles of press freedom, evaluate press freedom around the world, defend the media from attacks on their independence, and pay tribute to journalists who lost their lives.</t>
  </si>
  <si>
    <t>International Day of Families</t>
  </si>
  <si>
    <t>Proclaimed by UN resolution A/RES/47/237 to promote awareness of issues relating to families and to increase knowledge of the social, economic, and demographic processes affecting these fundamental units of society.</t>
  </si>
  <si>
    <t>Intl. Day for Biological Diversity</t>
  </si>
  <si>
    <t>Sanctioned by the United Nations via resolution A/RES/55/201 to increase understanding and deep awareness of biodiversity issues, ecosystem preservation, and sustainable resource management.</t>
  </si>
  <si>
    <t>World Environment Day</t>
  </si>
  <si>
    <t>Led by the UN Environment Programme (UNEP) since 1973, it has grown to be the largest global platform for environmental public outreach, encouraging worldwide awareness and action to protect our environment.</t>
  </si>
  <si>
    <t>World Oceans Day</t>
  </si>
  <si>
    <t>Officially designated by UN resolution A/RES/63/111 to celebrate the ocean's role as the lungs of our planet, a major source of food and medicine, and a critical part of the biosphere that requires global protection from pollution.</t>
  </si>
  <si>
    <t>World Refugee Day</t>
  </si>
  <si>
    <t>Designated by UN resolution A/RES/55/76 to honor the strength, courage, and resilience of millions of refugees worldwide who have been forced to flee their homelands due to conflict, war, or persecution.</t>
  </si>
  <si>
    <t>International Day of Yoga</t>
  </si>
  <si>
    <t>Established by UN resolution A/RES/69/131 following an initiative by India, aiming to raise global awareness of the holistic benefits of practicing yoga and meditation for physical health and mental well-being.</t>
  </si>
  <si>
    <t>International Asteroid Day</t>
  </si>
  <si>
    <t>Sanctioned by UN resolution A/RES/71/90 to educate the public about asteroid impact hazards and global crisis communication, marking the anniversary of the Earth's largest recorded asteroid impact in Tunguska, Siberia, in 1908.</t>
  </si>
  <si>
    <t>World Population Day</t>
  </si>
  <si>
    <t>Established by the Governing Council of the UNDP in 1989 to focus urgent attention on the importance of population issues, including reproductive health, family planning, gender equality, and sustainable development.</t>
  </si>
  <si>
    <t>Nelson Mandela International Day</t>
  </si>
  <si>
    <t>Declared by the UN via resolution A/RES/64/13 to honor Mandela's legacy in conflict resolution, race relations, and human rights promotion. It encourages individuals to dedicate 67 minutes to public service, matching his 67 years of activism.</t>
  </si>
  <si>
    <t>International Youth Day</t>
  </si>
  <si>
    <t>Designated by UN resolution A/RES/54/120 to celebrate the input of young people as essential agents of change in global society, while drawing attention to youth-related legal, economic, and social challenges.</t>
  </si>
  <si>
    <t>World Humanitarian Day</t>
  </si>
  <si>
    <t>Designated by UN resolution A/RES/63/139 to commemorate the 2003 bomb attack on the Canal Hotel in Baghdad that killed 22 aid workers, honoring the dedication of humanitarian personnel and volunteers worldwide.</t>
  </si>
  <si>
    <t>International Literacy Day</t>
  </si>
  <si>
    <t>Proclaimed by UNESCO to remind the international community of the importance of literacy for individuals, communities, and societies, and the need for intensified efforts towards more literate global populations.</t>
  </si>
  <si>
    <t>International Day of Democracy</t>
  </si>
  <si>
    <t>Established by UN resolution A/RES/62/7 to provide an opportunity to review the state of democracy in the world and to promote the core principles of inclusivity, institutional transparency, and human rights.</t>
  </si>
  <si>
    <t>International Day of Peace</t>
  </si>
  <si>
    <t>Established by UN resolution A/RES/36/67 as a day dedicated to strengthening the ideals of peace both within and among all nations and peoples, observed as a 24-hour period of global non-violence and cease-fire.</t>
  </si>
  <si>
    <t>World Tourism Day</t>
  </si>
  <si>
    <t>Celebrated by UN Tourism (UNWTO) to foster awareness among the international community of the social, cultural, political, and economic value of sustainable global tourism.</t>
  </si>
  <si>
    <t>International Day of Non-Violence</t>
  </si>
  <si>
    <t>Established by UN resolution A/RES/61/271 to disseminate the message of non-violence through education and public awareness, marking the birthday of Mahatma Gandhi, leader of the Indian independence movement.</t>
  </si>
  <si>
    <t>World Teachers' Day</t>
  </si>
  <si>
    <t>Inaugurated by UNESCO and ILO to commemorate the adoption of the 1966 Recommendation concerning the Status of Teachers, celebrating the vital role and deep contributions of educators globally.</t>
  </si>
  <si>
    <t>World Mental Health Day</t>
  </si>
  <si>
    <t>Supported by the WHO and the World Federation for Mental Health (WFMH) to raise awareness of mental health issues around the world and to mobilize efforts in support of better psychiatric care and psychological well-being.</t>
  </si>
  <si>
    <t>World Food Day</t>
  </si>
  <si>
    <t>Observed to mark the founding of the Food and Agriculture Organization (FAO) of the United Nations in 1945, aiming to heighten global collective action to eliminate hunger and ensure food security for all.</t>
  </si>
  <si>
    <t>United Nations Day</t>
  </si>
  <si>
    <t>Commemorates the official anniversary of the entry into force of the UN Charter on October 24, 1945, celebrating the collective commitment of the international body to maintain global peace and security.</t>
  </si>
  <si>
    <t>World Diabetes Day</t>
  </si>
  <si>
    <t>Recognized as an official UN day via resolution A/RES/61/225 to address the global diabetes epidemic and its severe impact on public health systems, marking the birthday of insulin co-discoverer Frederick Banting.</t>
  </si>
  <si>
    <t>International Day for Tolerance</t>
  </si>
  <si>
    <t>Established by the UN General Assembly following UNESCO's 1995 Declaration of Principles on Tolerance, aiming to educate the public on the necessity of respecting diverse cultures, expressions, and human beliefs.</t>
  </si>
  <si>
    <t>World Children's Day</t>
  </si>
  <si>
    <t>Established by the UN to commemorate the Declaration of the Rights of the Child (1959) and the Convention on the Rights of the Child (1989), focusing on promoting child welfare and international togetherness.</t>
  </si>
  <si>
    <t>World AIDS Day</t>
  </si>
  <si>
    <t>An international campaign supported by UNAIDS since 1988 to raise public awareness about HIV/AIDS, show solidarity with people living with the virus, and honor those who have lost their lives to the epidemic.</t>
  </si>
  <si>
    <t>Intl. Day of People with Disabilities</t>
  </si>
  <si>
    <t>Proclaimed by UN resolution A/RES/47/3 to promote the rights, full well-being, and absolute inclusivity of persons with disabilities in all spheres of societal development.</t>
  </si>
  <si>
    <t>Human Rights Day</t>
  </si>
  <si>
    <t>Commemorates the historic day on December 10, 1948, when the United Nations General Assembly adopted the Universal Declaration of Human Rights (UDHR) as the common standard of protection for all human beings.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</si>
</sst>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0082D6-1CE3-43EB-B77A-F3D16B00538E}" name="tblInternational" displayName="tblInternational" ref="A1:M42" totalsRowShown="0">
  <autoFilter ref="A1:M42" xr:uid="{57BBB9D5-5353-44AB-B314-DA022437FC3E}"/>
  <tableColumns count="13">
    <tableColumn id="1" xr3:uid="{EC43F013-8723-45D4-9653-2DD5A203005A}" name="Tahun"/>
    <tableColumn id="2" xr3:uid="{57EC602B-9A33-4CD7-B3F1-400393AAB0CB}" name="Bulan Mulai"/>
    <tableColumn id="3" xr3:uid="{4F428938-8B78-48B5-B2F3-9E1232A03E1F}" name="Bulan Selesai"/>
    <tableColumn id="4" xr3:uid="{6D167654-4C77-4113-A4CF-3402DDE4AD8B}" name="Hari Mulai"/>
    <tableColumn id="5" xr3:uid="{2A508980-E432-4ABF-8F2D-41BC3D4847B4}" name="Hari Selesai"/>
    <tableColumn id="6" xr3:uid="{62C3B741-3446-48E8-9905-50166A66ABF1}" name="Tipe"/>
    <tableColumn id="7" xr3:uid="{D0DE6B2B-5895-4425-9AF1-DDFFCFC098C8}" name="Subtipe"/>
    <tableColumn id="8" xr3:uid="{B047FAD2-EA63-4DC1-96A3-B888BE9917C8}" name="Urut ID"/>
    <tableColumn id="9" xr3:uid="{046CAECF-B919-43D8-A114-CC863C90E029}" name="ID">
      <calculatedColumnFormula>IF(OR(F2="",H2=""),"",F2*4000+H2)</calculatedColumnFormula>
    </tableColumn>
    <tableColumn id="10" xr3:uid="{992F5F72-0635-4EDC-95B1-1DB3AD68E352}" name="Judul Pendek"/>
    <tableColumn id="11" xr3:uid="{6220DA71-AD95-446C-AD12-E05B2E7EAAAE}" name="Keterangan"/>
    <tableColumn id="12" xr3:uid="{625D419F-6444-4362-BABC-E65B086AC167}" name="JSON Peristiwa">
      <calculatedColumnFormula>IF(OR(B2="",B2=0,D2="",D2=0,F2="",I2="",J2=""),"ERROR: Data wajib belum lengkap",IF(OR(B2&lt;1,B2&gt;12,D2&lt;1,D2&gt;31,AND(C2&lt;&gt;"",C2&lt;&gt;0,OR(C2&lt;1,C2&gt;12)),AND(E2&lt;&gt;"",E2&lt;&gt;0,OR(E2&lt;1,E2&gt;31))),"ERROR: Bulan atau hari tidak valid",IF(LEN(J2)&gt;39,"ERROR: Judul lebih dari 39 karakter","{""th"":"&amp;IF(A2="",0,A2)&amp;",""bm"":"&amp;B2&amp;",""bs"":"&amp;IF(OR(C2="",C2=0),B2,C2)&amp;",""hm"":"&amp;D2&amp;",""hs"":"&amp;IF(OR(E2="",E2=0),D2,E2)&amp;",""tp"":"&amp;F2&amp;IF(G2="","",",""sub"":"""&amp;SUBSTITUTE(SUBSTITUTE(LOWER(G2),CHAR(92),CHAR(92)&amp;CHAR(92)),CHAR(34),CHAR(92)&amp;CHAR(34))&amp;"""")&amp;",""id"":"&amp;I2&amp;",""jd"":"""&amp;SUBSTITUTE(SUBSTITUTE(J2,CHAR(92),CHAR(92)&amp;CHAR(92)),CHAR(34),CHAR(92)&amp;CHAR(34))&amp;"""}"&amp;IF(COUNTIF(I3:I$1000,"&lt;&gt;")&gt;0,",",""))))</calculatedColumnFormula>
    </tableColumn>
    <tableColumn id="13" xr3:uid="{6C9989B4-BA2B-417C-928E-D4079715D09F}" name="JSON Keterangan">
      <calculatedColumnFormula>IF(OR(I2="",K2=""),"",""""&amp;I2&amp;""":{""ket"":"""&amp;SUBSTITUTE(SUBSTITUTE(SUBSTITUTE(SUBSTITUTE(K2,CHAR(92),CHAR(92)&amp;CHAR(92)),CHAR(34),CHAR(92)&amp;CHAR(34)),CHAR(13),""),CHAR(10),CHAR(92)&amp;"n")&amp;"""}"&amp;IF(COUNTIF(K3:K$1000,"&lt;&gt;")&gt;0,",",""))</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00C2E-0596-40F6-B031-3C3EA97B40C5}">
  <dimension ref="A1:M42"/>
  <sheetViews>
    <sheetView tabSelected="1" workbookViewId="0"/>
  </sheetViews>
  <sheetFormatPr defaultRowHeight="15" x14ac:dyDescent="0.25"/>
  <cols>
    <col min="2" max="2" width="13.42578125" customWidth="1"/>
    <col min="3" max="3" width="15.140625" customWidth="1"/>
    <col min="4" max="4" width="12.140625" customWidth="1"/>
    <col min="5" max="5" width="13.85546875" customWidth="1"/>
    <col min="7" max="7" width="10.140625" customWidth="1"/>
    <col min="8" max="8" width="9.42578125" customWidth="1"/>
    <col min="10" max="10" width="15" customWidth="1"/>
    <col min="11" max="11" width="13.28515625" customWidth="1"/>
    <col min="12" max="12" width="16.5703125" customWidth="1"/>
    <col min="13" max="13" width="18.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B2">
        <v>1</v>
      </c>
      <c r="D2">
        <v>4</v>
      </c>
      <c r="F2">
        <v>6</v>
      </c>
      <c r="G2" t="s">
        <v>13</v>
      </c>
      <c r="H2">
        <v>1</v>
      </c>
      <c r="I2">
        <f>IF(OR(F2="",H2=""),"",F2*4000+H2)</f>
        <v>24001</v>
      </c>
      <c r="J2" t="s">
        <v>14</v>
      </c>
      <c r="K2" t="s">
        <v>15</v>
      </c>
      <c r="L2" t="str">
        <f>IF(OR(B2="",B2=0,D2="",D2=0,F2="",I2="",J2=""),"ERROR: Data wajib belum lengkap",IF(OR(B2&lt;1,B2&gt;12,D2&lt;1,D2&gt;31,AND(C2&lt;&gt;"",C2&lt;&gt;0,OR(C2&lt;1,C2&gt;12)),AND(E2&lt;&gt;"",E2&lt;&gt;0,OR(E2&lt;1,E2&gt;31))),"ERROR: Bulan atau hari tidak valid",IF(LEN(J2)&gt;39,"ERROR: Judul lebih dari 39 karakter","{""th"":"&amp;IF(A2="",0,A2)&amp;",""bm"":"&amp;B2&amp;",""bs"":"&amp;IF(OR(C2="",C2=0),B2,C2)&amp;",""hm"":"&amp;D2&amp;",""hs"":"&amp;IF(OR(E2="",E2=0),D2,E2)&amp;",""tp"":"&amp;F2&amp;IF(G2="","",",""sub"":"""&amp;SUBSTITUTE(SUBSTITUTE(LOWER(G2),CHAR(92),CHAR(92)&amp;CHAR(92)),CHAR(34),CHAR(92)&amp;CHAR(34))&amp;"""")&amp;",""id"":"&amp;I2&amp;",""jd"":"""&amp;SUBSTITUTE(SUBSTITUTE(J2,CHAR(92),CHAR(92)&amp;CHAR(92)),CHAR(34),CHAR(92)&amp;CHAR(34))&amp;"""}"&amp;IF(COUNTIF(I3:I$1000,"&lt;&gt;")&gt;0,",",""))))</f>
        <v>{"th":0,"bm":1,"bs":1,"hm":4,"hs":4,"tp":6,"sub":"un","id":24001,"jd":"World Braille Day"},</v>
      </c>
      <c r="M2" t="str">
        <f>IF(OR(I2="",K2=""),"",""""&amp;I2&amp;""":{""ket"":"""&amp;SUBSTITUTE(SUBSTITUTE(SUBSTITUTE(SUBSTITUTE(K2,CHAR(92),CHAR(92)&amp;CHAR(92)),CHAR(34),CHAR(92)&amp;CHAR(34)),CHAR(13),""),CHAR(10),CHAR(92)&amp;"n")&amp;"""}"&amp;IF(COUNTIF(K3:K$1000,"&lt;&gt;")&gt;0,",",""))</f>
        <v>"24001":{"ket":"Proclaimed by the UN General Assembly via resolution A/RES/73/161 to raise awareness of the importance of Braille as a means of communication in the full realization of human rights for blind and partially sighted individuals. It marks the birth anniversary of its inventor, Louis Braille."},</v>
      </c>
    </row>
    <row r="3" spans="1:13" x14ac:dyDescent="0.25">
      <c r="B3">
        <v>1</v>
      </c>
      <c r="D3">
        <v>24</v>
      </c>
      <c r="F3">
        <v>6</v>
      </c>
      <c r="G3" t="s">
        <v>13</v>
      </c>
      <c r="H3">
        <v>2</v>
      </c>
      <c r="I3">
        <f t="shared" ref="I3:I42" si="0">IF(OR(F3="",H3=""),"",F3*4000+H3)</f>
        <v>24002</v>
      </c>
      <c r="J3" t="s">
        <v>16</v>
      </c>
      <c r="K3" t="s">
        <v>17</v>
      </c>
      <c r="L3" t="str">
        <f>IF(OR(B3="",B3=0,D3="",D3=0,F3="",I3="",J3=""),"ERROR: Data wajib belum lengkap",IF(OR(B3&lt;1,B3&gt;12,D3&lt;1,D3&gt;31,AND(C3&lt;&gt;"",C3&lt;&gt;0,OR(C3&lt;1,C3&gt;12)),AND(E3&lt;&gt;"",E3&lt;&gt;0,OR(E3&lt;1,E3&gt;31))),"ERROR: Bulan atau hari tidak valid",IF(LEN(J3)&gt;39,"ERROR: Judul lebih dari 39 karakter","{""th"":"&amp;IF(A3="",0,A3)&amp;",""bm"":"&amp;B3&amp;",""bs"":"&amp;IF(OR(C3="",C3=0),B3,C3)&amp;",""hm"":"&amp;D3&amp;",""hs"":"&amp;IF(OR(E3="",E3=0),D3,E3)&amp;",""tp"":"&amp;F3&amp;IF(G3="","",",""sub"":"""&amp;SUBSTITUTE(SUBSTITUTE(LOWER(G3),CHAR(92),CHAR(92)&amp;CHAR(92)),CHAR(34),CHAR(92)&amp;CHAR(34))&amp;"""")&amp;",""id"":"&amp;I3&amp;",""jd"":"""&amp;SUBSTITUTE(SUBSTITUTE(J3,CHAR(92),CHAR(92)&amp;CHAR(92)),CHAR(34),CHAR(92)&amp;CHAR(34))&amp;"""}"&amp;IF(COUNTIF(I4:I$1000,"&lt;&gt;")&gt;0,",",""))))</f>
        <v>{"th":0,"bm":1,"bs":1,"hm":24,"hs":24,"tp":6,"sub":"un","id":24002,"jd":"International Day of Education"},</v>
      </c>
      <c r="M3" t="str">
        <f>IF(OR(I3="",K3=""),"",""""&amp;I3&amp;""":{""ket"":"""&amp;SUBSTITUTE(SUBSTITUTE(SUBSTITUTE(SUBSTITUTE(K3,CHAR(92),CHAR(92)&amp;CHAR(92)),CHAR(34),CHAR(92)&amp;CHAR(34)),CHAR(13),""),CHAR(10),CHAR(92)&amp;"n")&amp;"""}"&amp;IF(COUNTIF(K4:K$1000,"&lt;&gt;")&gt;0,",",""))</f>
        <v>"24002":{"ket":"Established by the UN General Assembly under resolution A/RES/73/25 to celebrate and reiterate the crucial role of education as a public good and a primary driver for global peace, human development, and the achievement of the Sustainable Development Goals (SDGs)."},</v>
      </c>
    </row>
    <row r="4" spans="1:13" x14ac:dyDescent="0.25">
      <c r="B4">
        <v>1</v>
      </c>
      <c r="D4">
        <v>26</v>
      </c>
      <c r="F4">
        <v>6</v>
      </c>
      <c r="G4" t="s">
        <v>13</v>
      </c>
      <c r="H4">
        <v>3</v>
      </c>
      <c r="I4">
        <f t="shared" si="0"/>
        <v>24003</v>
      </c>
      <c r="J4" t="s">
        <v>18</v>
      </c>
      <c r="K4" t="s">
        <v>19</v>
      </c>
      <c r="L4" t="str">
        <f>IF(OR(B4="",B4=0,D4="",D4=0,F4="",I4="",J4=""),"ERROR: Data wajib belum lengkap",IF(OR(B4&lt;1,B4&gt;12,D4&lt;1,D4&gt;31,AND(C4&lt;&gt;"",C4&lt;&gt;0,OR(C4&lt;1,C4&gt;12)),AND(E4&lt;&gt;"",E4&lt;&gt;0,OR(E4&lt;1,E4&gt;31))),"ERROR: Bulan atau hari tidak valid",IF(LEN(J4)&gt;39,"ERROR: Judul lebih dari 39 karakter","{""th"":"&amp;IF(A4="",0,A4)&amp;",""bm"":"&amp;B4&amp;",""bs"":"&amp;IF(OR(C4="",C4=0),B4,C4)&amp;",""hm"":"&amp;D4&amp;",""hs"":"&amp;IF(OR(E4="",E4=0),D4,E4)&amp;",""tp"":"&amp;F4&amp;IF(G4="","",",""sub"":"""&amp;SUBSTITUTE(SUBSTITUTE(LOWER(G4),CHAR(92),CHAR(92)&amp;CHAR(92)),CHAR(34),CHAR(92)&amp;CHAR(34))&amp;"""")&amp;",""id"":"&amp;I4&amp;",""jd"":"""&amp;SUBSTITUTE(SUBSTITUTE(J4,CHAR(92),CHAR(92)&amp;CHAR(92)),CHAR(34),CHAR(92)&amp;CHAR(34))&amp;"""}"&amp;IF(COUNTIF(I5:I$1000,"&lt;&gt;")&gt;0,",",""))))</f>
        <v>{"th":0,"bm":1,"bs":1,"hm":26,"hs":26,"tp":6,"sub":"un","id":24003,"jd":"International Day of Clean Energy"},</v>
      </c>
      <c r="M4" t="str">
        <f>IF(OR(I4="",K4=""),"",""""&amp;I4&amp;""":{""ket"":"""&amp;SUBSTITUTE(SUBSTITUTE(SUBSTITUTE(SUBSTITUTE(K4,CHAR(92),CHAR(92)&amp;CHAR(92)),CHAR(34),CHAR(92)&amp;CHAR(34)),CHAR(13),""),CHAR(10),CHAR(92)&amp;"n")&amp;"""}"&amp;IF(COUNTIF(K5:K$1000,"&lt;&gt;")&gt;0,",",""))</f>
        <v>"24003":{"ket":"Adopted by UN resolution A/RES/77/327 to mobilize global action toward a just and inclusive transition to clean and renewable energy sources, mitigating climate change while ensuring universal energy access."},</v>
      </c>
    </row>
    <row r="5" spans="1:13" x14ac:dyDescent="0.25">
      <c r="B5">
        <v>2</v>
      </c>
      <c r="D5">
        <v>2</v>
      </c>
      <c r="F5">
        <v>6</v>
      </c>
      <c r="G5" t="s">
        <v>13</v>
      </c>
      <c r="H5">
        <v>4</v>
      </c>
      <c r="I5">
        <f t="shared" si="0"/>
        <v>24004</v>
      </c>
      <c r="J5" t="s">
        <v>20</v>
      </c>
      <c r="K5" t="s">
        <v>21</v>
      </c>
      <c r="L5" t="str">
        <f>IF(OR(B5="",B5=0,D5="",D5=0,F5="",I5="",J5=""),"ERROR: Data wajib belum lengkap",IF(OR(B5&lt;1,B5&gt;12,D5&lt;1,D5&gt;31,AND(C5&lt;&gt;"",C5&lt;&gt;0,OR(C5&lt;1,C5&gt;12)),AND(E5&lt;&gt;"",E5&lt;&gt;0,OR(E5&lt;1,E5&gt;31))),"ERROR: Bulan atau hari tidak valid",IF(LEN(J5)&gt;39,"ERROR: Judul lebih dari 39 karakter","{""th"":"&amp;IF(A5="",0,A5)&amp;",""bm"":"&amp;B5&amp;",""bs"":"&amp;IF(OR(C5="",C5=0),B5,C5)&amp;",""hm"":"&amp;D5&amp;",""hs"":"&amp;IF(OR(E5="",E5=0),D5,E5)&amp;",""tp"":"&amp;F5&amp;IF(G5="","",",""sub"":"""&amp;SUBSTITUTE(SUBSTITUTE(LOWER(G5),CHAR(92),CHAR(92)&amp;CHAR(92)),CHAR(34),CHAR(92)&amp;CHAR(34))&amp;"""")&amp;",""id"":"&amp;I5&amp;",""jd"":"""&amp;SUBSTITUTE(SUBSTITUTE(J5,CHAR(92),CHAR(92)&amp;CHAR(92)),CHAR(34),CHAR(92)&amp;CHAR(34))&amp;"""}"&amp;IF(COUNTIF(I6:I$1000,"&lt;&gt;")&gt;0,",",""))))</f>
        <v>{"th":0,"bm":2,"bs":2,"hm":2,"hs":2,"tp":6,"sub":"un","id":24004,"jd":"World Wetlands Day"},</v>
      </c>
      <c r="M5" t="str">
        <f>IF(OR(I5="",K5=""),"",""""&amp;I5&amp;""":{""ket"":"""&amp;SUBSTITUTE(SUBSTITUTE(SUBSTITUTE(SUBSTITUTE(K5,CHAR(92),CHAR(92)&amp;CHAR(92)),CHAR(34),CHAR(92)&amp;CHAR(34)),CHAR(13),""),CHAR(10),CHAR(92)&amp;"n")&amp;"""}"&amp;IF(COUNTIF(K6:K$1000,"&lt;&gt;")&gt;0,",",""))</f>
        <v>"24004":{"ket":"Officially recognized by the UN via resolution A/RES/75/317 to raise global awareness about the vital role of wetlands, such as swamps and mangroves, in maintaining biodiversity, climate mitigation, and human well-being."},</v>
      </c>
    </row>
    <row r="6" spans="1:13" x14ac:dyDescent="0.25">
      <c r="B6">
        <v>2</v>
      </c>
      <c r="D6">
        <v>4</v>
      </c>
      <c r="F6">
        <v>6</v>
      </c>
      <c r="G6" t="s">
        <v>13</v>
      </c>
      <c r="H6">
        <v>5</v>
      </c>
      <c r="I6">
        <f t="shared" si="0"/>
        <v>24005</v>
      </c>
      <c r="J6" t="s">
        <v>22</v>
      </c>
      <c r="K6" t="s">
        <v>23</v>
      </c>
      <c r="L6" t="str">
        <f>IF(OR(B6="",B6=0,D6="",D6=0,F6="",I6="",J6=""),"ERROR: Data wajib belum lengkap",IF(OR(B6&lt;1,B6&gt;12,D6&lt;1,D6&gt;31,AND(C6&lt;&gt;"",C6&lt;&gt;0,OR(C6&lt;1,C6&gt;12)),AND(E6&lt;&gt;"",E6&lt;&gt;0,OR(E6&lt;1,E6&gt;31))),"ERROR: Bulan atau hari tidak valid",IF(LEN(J6)&gt;39,"ERROR: Judul lebih dari 39 karakter","{""th"":"&amp;IF(A6="",0,A6)&amp;",""bm"":"&amp;B6&amp;",""bs"":"&amp;IF(OR(C6="",C6=0),B6,C6)&amp;",""hm"":"&amp;D6&amp;",""hs"":"&amp;IF(OR(E6="",E6=0),D6,E6)&amp;",""tp"":"&amp;F6&amp;IF(G6="","",",""sub"":"""&amp;SUBSTITUTE(SUBSTITUTE(LOWER(G6),CHAR(92),CHAR(92)&amp;CHAR(92)),CHAR(34),CHAR(92)&amp;CHAR(34))&amp;"""")&amp;",""id"":"&amp;I6&amp;",""jd"":"""&amp;SUBSTITUTE(SUBSTITUTE(J6,CHAR(92),CHAR(92)&amp;CHAR(92)),CHAR(34),CHAR(92)&amp;CHAR(34))&amp;"""}"&amp;IF(COUNTIF(I7:I$1000,"&lt;&gt;")&gt;0,",",""))))</f>
        <v>{"th":0,"bm":2,"bs":2,"hm":4,"hs":4,"tp":6,"sub":"un","id":24005,"jd":"World Cancer Day"},</v>
      </c>
      <c r="M6" t="str">
        <f>IF(OR(I6="",K6=""),"",""""&amp;I6&amp;""":{""ket"":"""&amp;SUBSTITUTE(SUBSTITUTE(SUBSTITUTE(SUBSTITUTE(K6,CHAR(92),CHAR(92)&amp;CHAR(92)),CHAR(34),CHAR(92)&amp;CHAR(34)),CHAR(13),""),CHAR(10),CHAR(92)&amp;"n")&amp;"""}"&amp;IF(COUNTIF(K7:K$1000,"&lt;&gt;")&gt;0,",",""))</f>
        <v>"24005":{"ket":"A global initiative led by the Union for International Cancer Control (UICC) and supported by the World Health Organization (WHO) to rally the international community to increase education, early detection, and equitable access to life-saving cancer treatment."},</v>
      </c>
    </row>
    <row r="7" spans="1:13" x14ac:dyDescent="0.25">
      <c r="B7">
        <v>2</v>
      </c>
      <c r="D7">
        <v>13</v>
      </c>
      <c r="F7">
        <v>6</v>
      </c>
      <c r="G7" t="s">
        <v>13</v>
      </c>
      <c r="H7">
        <v>6</v>
      </c>
      <c r="I7">
        <f t="shared" si="0"/>
        <v>24006</v>
      </c>
      <c r="J7" t="s">
        <v>24</v>
      </c>
      <c r="K7" t="s">
        <v>25</v>
      </c>
      <c r="L7" t="str">
        <f>IF(OR(B7="",B7=0,D7="",D7=0,F7="",I7="",J7=""),"ERROR: Data wajib belum lengkap",IF(OR(B7&lt;1,B7&gt;12,D7&lt;1,D7&gt;31,AND(C7&lt;&gt;"",C7&lt;&gt;0,OR(C7&lt;1,C7&gt;12)),AND(E7&lt;&gt;"",E7&lt;&gt;0,OR(E7&lt;1,E7&gt;31))),"ERROR: Bulan atau hari tidak valid",IF(LEN(J7)&gt;39,"ERROR: Judul lebih dari 39 karakter","{""th"":"&amp;IF(A7="",0,A7)&amp;",""bm"":"&amp;B7&amp;",""bs"":"&amp;IF(OR(C7="",C7=0),B7,C7)&amp;",""hm"":"&amp;D7&amp;",""hs"":"&amp;IF(OR(E7="",E7=0),D7,E7)&amp;",""tp"":"&amp;F7&amp;IF(G7="","",",""sub"":"""&amp;SUBSTITUTE(SUBSTITUTE(LOWER(G7),CHAR(92),CHAR(92)&amp;CHAR(92)),CHAR(34),CHAR(92)&amp;CHAR(34))&amp;"""")&amp;",""id"":"&amp;I7&amp;",""jd"":"""&amp;SUBSTITUTE(SUBSTITUTE(J7,CHAR(92),CHAR(92)&amp;CHAR(92)),CHAR(34),CHAR(92)&amp;CHAR(34))&amp;"""}"&amp;IF(COUNTIF(I8:I$1000,"&lt;&gt;")&gt;0,",",""))))</f>
        <v>{"th":0,"bm":2,"bs":2,"hm":13,"hs":13,"tp":6,"sub":"un","id":24006,"jd":"World Radio Day"},</v>
      </c>
      <c r="M7" t="str">
        <f>IF(OR(I7="",K7=""),"",""""&amp;I7&amp;""":{""ket"":"""&amp;SUBSTITUTE(SUBSTITUTE(SUBSTITUTE(SUBSTITUTE(K7,CHAR(92),CHAR(92)&amp;CHAR(92)),CHAR(34),CHAR(92)&amp;CHAR(34)),CHAR(13),""),CHAR(10),CHAR(92)&amp;"n")&amp;"""}"&amp;IF(COUNTIF(K8:K$1000,"&lt;&gt;")&gt;0,",",""))</f>
        <v>"24006":{"ket":"Proclaimed by UNESCO and endorsed by the UN General Assembly via resolution A/RES/67/124 to celebrate radio as a powerful medium for promoting humanity, reaching remote communities, and fostering freedom of expression."},</v>
      </c>
    </row>
    <row r="8" spans="1:13" x14ac:dyDescent="0.25">
      <c r="B8">
        <v>2</v>
      </c>
      <c r="D8">
        <v>21</v>
      </c>
      <c r="F8">
        <v>6</v>
      </c>
      <c r="G8" t="s">
        <v>13</v>
      </c>
      <c r="H8">
        <v>7</v>
      </c>
      <c r="I8">
        <f t="shared" si="0"/>
        <v>24007</v>
      </c>
      <c r="J8" t="s">
        <v>26</v>
      </c>
      <c r="K8" t="s">
        <v>27</v>
      </c>
      <c r="L8" t="str">
        <f>IF(OR(B8="",B8=0,D8="",D8=0,F8="",I8="",J8=""),"ERROR: Data wajib belum lengkap",IF(OR(B8&lt;1,B8&gt;12,D8&lt;1,D8&gt;31,AND(C8&lt;&gt;"",C8&lt;&gt;0,OR(C8&lt;1,C8&gt;12)),AND(E8&lt;&gt;"",E8&lt;&gt;0,OR(E8&lt;1,E8&gt;31))),"ERROR: Bulan atau hari tidak valid",IF(LEN(J8)&gt;39,"ERROR: Judul lebih dari 39 karakter","{""th"":"&amp;IF(A8="",0,A8)&amp;",""bm"":"&amp;B8&amp;",""bs"":"&amp;IF(OR(C8="",C8=0),B8,C8)&amp;",""hm"":"&amp;D8&amp;",""hs"":"&amp;IF(OR(E8="",E8=0),D8,E8)&amp;",""tp"":"&amp;F8&amp;IF(G8="","",",""sub"":"""&amp;SUBSTITUTE(SUBSTITUTE(LOWER(G8),CHAR(92),CHAR(92)&amp;CHAR(92)),CHAR(34),CHAR(92)&amp;CHAR(34))&amp;"""")&amp;",""id"":"&amp;I8&amp;",""jd"":"""&amp;SUBSTITUTE(SUBSTITUTE(J8,CHAR(92),CHAR(92)&amp;CHAR(92)),CHAR(34),CHAR(92)&amp;CHAR(34))&amp;"""}"&amp;IF(COUNTIF(I9:I$1000,"&lt;&gt;")&gt;0,",",""))))</f>
        <v>{"th":0,"bm":2,"bs":2,"hm":21,"hs":21,"tp":6,"sub":"un","id":24007,"jd":"International Mother Language Day"},</v>
      </c>
      <c r="M8" t="str">
        <f>IF(OR(I8="",K8=""),"",""""&amp;I8&amp;""":{""ket"":"""&amp;SUBSTITUTE(SUBSTITUTE(SUBSTITUTE(SUBSTITUTE(K8,CHAR(92),CHAR(92)&amp;CHAR(92)),CHAR(34),CHAR(92)&amp;CHAR(34)),CHAR(13),""),CHAR(10),CHAR(92)&amp;"n")&amp;"""}"&amp;IF(COUNTIF(K9:K$1000,"&lt;&gt;")&gt;0,",",""))</f>
        <v>"24007":{"ket":"Proclaimed by UNESCO to promote linguistic and cultural diversity, multilingualism, and the preservation of endangered native languages as an essential component of inclusive education and sustainable development."},</v>
      </c>
    </row>
    <row r="9" spans="1:13" x14ac:dyDescent="0.25">
      <c r="B9">
        <v>3</v>
      </c>
      <c r="D9">
        <v>3</v>
      </c>
      <c r="F9">
        <v>6</v>
      </c>
      <c r="G9" t="s">
        <v>13</v>
      </c>
      <c r="H9">
        <v>8</v>
      </c>
      <c r="I9">
        <f t="shared" si="0"/>
        <v>24008</v>
      </c>
      <c r="J9" t="s">
        <v>28</v>
      </c>
      <c r="K9" t="s">
        <v>29</v>
      </c>
      <c r="L9" t="str">
        <f>IF(OR(B9="",B9=0,D9="",D9=0,F9="",I9="",J9=""),"ERROR: Data wajib belum lengkap",IF(OR(B9&lt;1,B9&gt;12,D9&lt;1,D9&gt;31,AND(C9&lt;&gt;"",C9&lt;&gt;0,OR(C9&lt;1,C9&gt;12)),AND(E9&lt;&gt;"",E9&lt;&gt;0,OR(E9&lt;1,E9&gt;31))),"ERROR: Bulan atau hari tidak valid",IF(LEN(J9)&gt;39,"ERROR: Judul lebih dari 39 karakter","{""th"":"&amp;IF(A9="",0,A9)&amp;",""bm"":"&amp;B9&amp;",""bs"":"&amp;IF(OR(C9="",C9=0),B9,C9)&amp;",""hm"":"&amp;D9&amp;",""hs"":"&amp;IF(OR(E9="",E9=0),D9,E9)&amp;",""tp"":"&amp;F9&amp;IF(G9="","",",""sub"":"""&amp;SUBSTITUTE(SUBSTITUTE(LOWER(G9),CHAR(92),CHAR(92)&amp;CHAR(92)),CHAR(34),CHAR(92)&amp;CHAR(34))&amp;"""")&amp;",""id"":"&amp;I9&amp;",""jd"":"""&amp;SUBSTITUTE(SUBSTITUTE(J9,CHAR(92),CHAR(92)&amp;CHAR(92)),CHAR(34),CHAR(92)&amp;CHAR(34))&amp;"""}"&amp;IF(COUNTIF(I10:I$1000,"&lt;&gt;")&gt;0,",",""))))</f>
        <v>{"th":0,"bm":3,"bs":3,"hm":3,"hs":3,"tp":6,"sub":"un","id":24008,"jd":"World Wildlife Day"},</v>
      </c>
      <c r="M9" t="str">
        <f>IF(OR(I9="",K9=""),"",""""&amp;I9&amp;""":{""ket"":"""&amp;SUBSTITUTE(SUBSTITUTE(SUBSTITUTE(SUBSTITUTE(K9,CHAR(92),CHAR(92)&amp;CHAR(92)),CHAR(34),CHAR(92)&amp;CHAR(34)),CHAR(13),""),CHAR(10),CHAR(92)&amp;"n")&amp;"""}"&amp;IF(COUNTIF(K10:K$1000,"&lt;&gt;")&gt;0,",",""))</f>
        <v>"24008":{"ket":"Proclaimed by the UN General Assembly via resolution A/RES/68/205 to celebrate the beautiful diversity of wild fauna and flora, and to raise awareness of the urgent need to step up the fight against wildlife crime and human-induced reduction of species."},</v>
      </c>
    </row>
    <row r="10" spans="1:13" x14ac:dyDescent="0.25">
      <c r="B10">
        <v>3</v>
      </c>
      <c r="D10">
        <v>8</v>
      </c>
      <c r="F10">
        <v>6</v>
      </c>
      <c r="G10" t="s">
        <v>13</v>
      </c>
      <c r="H10">
        <v>9</v>
      </c>
      <c r="I10">
        <f t="shared" si="0"/>
        <v>24009</v>
      </c>
      <c r="J10" t="s">
        <v>30</v>
      </c>
      <c r="K10" t="s">
        <v>31</v>
      </c>
      <c r="L10" t="str">
        <f>IF(OR(B10="",B10=0,D10="",D10=0,F10="",I10="",J10=""),"ERROR: Data wajib belum lengkap",IF(OR(B10&lt;1,B10&gt;12,D10&lt;1,D10&gt;31,AND(C10&lt;&gt;"",C10&lt;&gt;0,OR(C10&lt;1,C10&gt;12)),AND(E10&lt;&gt;"",E10&lt;&gt;0,OR(E10&lt;1,E10&gt;31))),"ERROR: Bulan atau hari tidak valid",IF(LEN(J10)&gt;39,"ERROR: Judul lebih dari 39 karakter","{""th"":"&amp;IF(A10="",0,A10)&amp;",""bm"":"&amp;B10&amp;",""bs"":"&amp;IF(OR(C10="",C10=0),B10,C10)&amp;",""hm"":"&amp;D10&amp;",""hs"":"&amp;IF(OR(E10="",E10=0),D10,E10)&amp;",""tp"":"&amp;F10&amp;IF(G10="","",",""sub"":"""&amp;SUBSTITUTE(SUBSTITUTE(LOWER(G10),CHAR(92),CHAR(92)&amp;CHAR(92)),CHAR(34),CHAR(92)&amp;CHAR(34))&amp;"""")&amp;",""id"":"&amp;I10&amp;",""jd"":"""&amp;SUBSTITUTE(SUBSTITUTE(J10,CHAR(92),CHAR(92)&amp;CHAR(92)),CHAR(34),CHAR(92)&amp;CHAR(34))&amp;"""}"&amp;IF(COUNTIF(I11:I$1000,"&lt;&gt;")&gt;0,",",""))))</f>
        <v>{"th":0,"bm":3,"bs":3,"hm":8,"hs":8,"tp":6,"sub":"un","id":24009,"jd":"International Women's Day"},</v>
      </c>
      <c r="M10" t="str">
        <f>IF(OR(I10="",K10=""),"",""""&amp;I10&amp;""":{""ket"":"""&amp;SUBSTITUTE(SUBSTITUTE(SUBSTITUTE(SUBSTITUTE(K10,CHAR(92),CHAR(92)&amp;CHAR(92)),CHAR(34),CHAR(92)&amp;CHAR(34)),CHAR(13),""),CHAR(10),CHAR(92)&amp;"n")&amp;"""}"&amp;IF(COUNTIF(K11:K$1000,"&lt;&gt;")&gt;0,",",""))</f>
        <v>"24009":{"ket":"Recognized officially by the United Nations to celebrate the social, economic, cultural, and political achievements of women, while serving as a global call to action for accelerating gender equality and women's rights."},</v>
      </c>
    </row>
    <row r="11" spans="1:13" x14ac:dyDescent="0.25">
      <c r="B11">
        <v>3</v>
      </c>
      <c r="D11">
        <v>21</v>
      </c>
      <c r="F11">
        <v>6</v>
      </c>
      <c r="G11" t="s">
        <v>13</v>
      </c>
      <c r="H11">
        <v>10</v>
      </c>
      <c r="I11">
        <f t="shared" si="0"/>
        <v>24010</v>
      </c>
      <c r="J11" t="s">
        <v>32</v>
      </c>
      <c r="K11" t="s">
        <v>33</v>
      </c>
      <c r="L11" t="str">
        <f>IF(OR(B11="",B11=0,D11="",D11=0,F11="",I11="",J11=""),"ERROR: Data wajib belum lengkap",IF(OR(B11&lt;1,B11&gt;12,D11&lt;1,D11&gt;31,AND(C11&lt;&gt;"",C11&lt;&gt;0,OR(C11&lt;1,C11&gt;12)),AND(E11&lt;&gt;"",E11&lt;&gt;0,OR(E11&lt;1,E11&gt;31))),"ERROR: Bulan atau hari tidak valid",IF(LEN(J11)&gt;39,"ERROR: Judul lebih dari 39 karakter","{""th"":"&amp;IF(A11="",0,A11)&amp;",""bm"":"&amp;B11&amp;",""bs"":"&amp;IF(OR(C11="",C11=0),B11,C11)&amp;",""hm"":"&amp;D11&amp;",""hs"":"&amp;IF(OR(E11="",E11=0),D11,E11)&amp;",""tp"":"&amp;F11&amp;IF(G11="","",",""sub"":"""&amp;SUBSTITUTE(SUBSTITUTE(LOWER(G11),CHAR(92),CHAR(92)&amp;CHAR(92)),CHAR(34),CHAR(92)&amp;CHAR(34))&amp;"""")&amp;",""id"":"&amp;I11&amp;",""jd"":"""&amp;SUBSTITUTE(SUBSTITUTE(J11,CHAR(92),CHAR(92)&amp;CHAR(92)),CHAR(34),CHAR(92)&amp;CHAR(34))&amp;"""}"&amp;IF(COUNTIF(I12:I$1000,"&lt;&gt;")&gt;0,",",""))))</f>
        <v>{"th":0,"bm":3,"bs":3,"hm":21,"hs":21,"tp":6,"sub":"un","id":24010,"jd":"Intl. Day Against Racial Discrim."},</v>
      </c>
      <c r="M11" t="str">
        <f>IF(OR(I11="",K11=""),"",""""&amp;I11&amp;""":{""ket"":"""&amp;SUBSTITUTE(SUBSTITUTE(SUBSTITUTE(SUBSTITUTE(K11,CHAR(92),CHAR(92)&amp;CHAR(92)),CHAR(34),CHAR(92)&amp;CHAR(34)),CHAR(13),""),CHAR(10),CHAR(92)&amp;"n")&amp;"""}"&amp;IF(COUNTIF(K12:K$1000,"&lt;&gt;")&gt;0,",",""))</f>
        <v>"24010":{"ket":"Established by UN resolution A/RES/2142 (XXI) to commemorate the Sharpeville massacre and to call upon the international community to redouble its efforts to eliminate all forms of racial discrimination, systemic racism, and xenophobia."},</v>
      </c>
    </row>
    <row r="12" spans="1:13" x14ac:dyDescent="0.25">
      <c r="B12">
        <v>3</v>
      </c>
      <c r="D12">
        <v>22</v>
      </c>
      <c r="F12">
        <v>6</v>
      </c>
      <c r="G12" t="s">
        <v>13</v>
      </c>
      <c r="H12">
        <v>11</v>
      </c>
      <c r="I12">
        <f t="shared" si="0"/>
        <v>24011</v>
      </c>
      <c r="J12" t="s">
        <v>34</v>
      </c>
      <c r="K12" t="s">
        <v>35</v>
      </c>
      <c r="L12" t="str">
        <f>IF(OR(B12="",B12=0,D12="",D12=0,F12="",I12="",J12=""),"ERROR: Data wajib belum lengkap",IF(OR(B12&lt;1,B12&gt;12,D12&lt;1,D12&gt;31,AND(C12&lt;&gt;"",C12&lt;&gt;0,OR(C12&lt;1,C12&gt;12)),AND(E12&lt;&gt;"",E12&lt;&gt;0,OR(E12&lt;1,E12&gt;31))),"ERROR: Bulan atau hari tidak valid",IF(LEN(J12)&gt;39,"ERROR: Judul lebih dari 39 karakter","{""th"":"&amp;IF(A12="",0,A12)&amp;",""bm"":"&amp;B12&amp;",""bs"":"&amp;IF(OR(C12="",C12=0),B12,C12)&amp;",""hm"":"&amp;D12&amp;",""hs"":"&amp;IF(OR(E12="",E12=0),D12,E12)&amp;",""tp"":"&amp;F12&amp;IF(G12="","",",""sub"":"""&amp;SUBSTITUTE(SUBSTITUTE(LOWER(G12),CHAR(92),CHAR(92)&amp;CHAR(92)),CHAR(34),CHAR(92)&amp;CHAR(34))&amp;"""")&amp;",""id"":"&amp;I12&amp;",""jd"":"""&amp;SUBSTITUTE(SUBSTITUTE(J12,CHAR(92),CHAR(92)&amp;CHAR(92)),CHAR(34),CHAR(92)&amp;CHAR(34))&amp;"""}"&amp;IF(COUNTIF(I13:I$1000,"&lt;&gt;")&gt;0,",",""))))</f>
        <v>{"th":0,"bm":3,"bs":3,"hm":22,"hs":22,"tp":6,"sub":"un","id":24011,"jd":"World Water Day"},</v>
      </c>
      <c r="M12" t="str">
        <f>IF(OR(I12="",K12=""),"",""""&amp;I12&amp;""":{""ket"":"""&amp;SUBSTITUTE(SUBSTITUTE(SUBSTITUTE(SUBSTITUTE(K12,CHAR(92),CHAR(92)&amp;CHAR(92)),CHAR(34),CHAR(92)&amp;CHAR(34)),CHAR(13),""),CHAR(10),CHAR(92)&amp;"n")&amp;"""}"&amp;IF(COUNTIF(K13:K$1000,"&lt;&gt;")&gt;0,",",""))</f>
        <v>"24011":{"ket":"Designated by UN resolution A/RES/47/193 to advocate for the sustainable management of freshwater resources and to address the global water crisis by accelerating access to clean water and sanitation for all."},</v>
      </c>
    </row>
    <row r="13" spans="1:13" x14ac:dyDescent="0.25">
      <c r="B13">
        <v>4</v>
      </c>
      <c r="D13">
        <v>2</v>
      </c>
      <c r="F13">
        <v>6</v>
      </c>
      <c r="G13" t="s">
        <v>13</v>
      </c>
      <c r="H13">
        <v>12</v>
      </c>
      <c r="I13">
        <f t="shared" si="0"/>
        <v>24012</v>
      </c>
      <c r="J13" t="s">
        <v>36</v>
      </c>
      <c r="K13" t="s">
        <v>37</v>
      </c>
      <c r="L13" t="str">
        <f>IF(OR(B13="",B13=0,D13="",D13=0,F13="",I13="",J13=""),"ERROR: Data wajib belum lengkap",IF(OR(B13&lt;1,B13&gt;12,D13&lt;1,D13&gt;31,AND(C13&lt;&gt;"",C13&lt;&gt;0,OR(C13&lt;1,C13&gt;12)),AND(E13&lt;&gt;"",E13&lt;&gt;0,OR(E13&lt;1,E13&gt;31))),"ERROR: Bulan atau hari tidak valid",IF(LEN(J13)&gt;39,"ERROR: Judul lebih dari 39 karakter","{""th"":"&amp;IF(A13="",0,A13)&amp;",""bm"":"&amp;B13&amp;",""bs"":"&amp;IF(OR(C13="",C13=0),B13,C13)&amp;",""hm"":"&amp;D13&amp;",""hs"":"&amp;IF(OR(E13="",E13=0),D13,E13)&amp;",""tp"":"&amp;F13&amp;IF(G13="","",",""sub"":"""&amp;SUBSTITUTE(SUBSTITUTE(LOWER(G13),CHAR(92),CHAR(92)&amp;CHAR(92)),CHAR(34),CHAR(92)&amp;CHAR(34))&amp;"""")&amp;",""id"":"&amp;I13&amp;",""jd"":"""&amp;SUBSTITUTE(SUBSTITUTE(J13,CHAR(92),CHAR(92)&amp;CHAR(92)),CHAR(34),CHAR(92)&amp;CHAR(34))&amp;"""}"&amp;IF(COUNTIF(I14:I$1000,"&lt;&gt;")&gt;0,",",""))))</f>
        <v>{"th":0,"bm":4,"bs":4,"hm":2,"hs":2,"tp":6,"sub":"un","id":24012,"jd":"World Autism Awareness Day"},</v>
      </c>
      <c r="M13" t="str">
        <f>IF(OR(I13="",K13=""),"",""""&amp;I13&amp;""":{""ket"":"""&amp;SUBSTITUTE(SUBSTITUTE(SUBSTITUTE(SUBSTITUTE(K13,CHAR(92),CHAR(92)&amp;CHAR(92)),CHAR(34),CHAR(92)&amp;CHAR(34)),CHAR(13),""),CHAR(10),CHAR(92)&amp;"n")&amp;"""}"&amp;IF(COUNTIF(K14:K$1000,"&lt;&gt;")&gt;0,",",""))</f>
        <v>"24012":{"ket":"Adopted by UN resolution A/RES/62/139 to highlight the need to help improve the quality of life of individuals with autism so they can lead full and meaningful lives as an integral part of society."},</v>
      </c>
    </row>
    <row r="14" spans="1:13" x14ac:dyDescent="0.25">
      <c r="B14">
        <v>4</v>
      </c>
      <c r="D14">
        <v>7</v>
      </c>
      <c r="F14">
        <v>6</v>
      </c>
      <c r="G14" t="s">
        <v>13</v>
      </c>
      <c r="H14">
        <v>13</v>
      </c>
      <c r="I14">
        <f t="shared" si="0"/>
        <v>24013</v>
      </c>
      <c r="J14" t="s">
        <v>38</v>
      </c>
      <c r="K14" t="s">
        <v>39</v>
      </c>
      <c r="L14" t="str">
        <f>IF(OR(B14="",B14=0,D14="",D14=0,F14="",I14="",J14=""),"ERROR: Data wajib belum lengkap",IF(OR(B14&lt;1,B14&gt;12,D14&lt;1,D14&gt;31,AND(C14&lt;&gt;"",C14&lt;&gt;0,OR(C14&lt;1,C14&gt;12)),AND(E14&lt;&gt;"",E14&lt;&gt;0,OR(E14&lt;1,E14&gt;31))),"ERROR: Bulan atau hari tidak valid",IF(LEN(J14)&gt;39,"ERROR: Judul lebih dari 39 karakter","{""th"":"&amp;IF(A14="",0,A14)&amp;",""bm"":"&amp;B14&amp;",""bs"":"&amp;IF(OR(C14="",C14=0),B14,C14)&amp;",""hm"":"&amp;D14&amp;",""hs"":"&amp;IF(OR(E14="",E14=0),D14,E14)&amp;",""tp"":"&amp;F14&amp;IF(G14="","",",""sub"":"""&amp;SUBSTITUTE(SUBSTITUTE(LOWER(G14),CHAR(92),CHAR(92)&amp;CHAR(92)),CHAR(34),CHAR(92)&amp;CHAR(34))&amp;"""")&amp;",""id"":"&amp;I14&amp;",""jd"":"""&amp;SUBSTITUTE(SUBSTITUTE(J14,CHAR(92),CHAR(92)&amp;CHAR(92)),CHAR(34),CHAR(92)&amp;CHAR(34))&amp;"""}"&amp;IF(COUNTIF(I15:I$1000,"&lt;&gt;")&gt;0,",",""))))</f>
        <v>{"th":0,"bm":4,"bs":4,"hm":7,"hs":7,"tp":6,"sub":"un","id":24013,"jd":"World Health Day"},</v>
      </c>
      <c r="M14" t="str">
        <f>IF(OR(I14="",K14=""),"",""""&amp;I14&amp;""":{""ket"":"""&amp;SUBSTITUTE(SUBSTITUTE(SUBSTITUTE(SUBSTITUTE(K14,CHAR(92),CHAR(92)&amp;CHAR(92)),CHAR(34),CHAR(92)&amp;CHAR(34)),CHAR(13),""),CHAR(10),CHAR(92)&amp;"n")&amp;"""}"&amp;IF(COUNTIF(K15:K$1000,"&lt;&gt;")&gt;0,",",""))</f>
        <v>"24013":{"ket":"A global health awareness day celebrated under the auspices of the World Health Organization (WHO) to mark its founding in 1948, focusing each year on a specific, high-priority public health issue affecting humanity."},</v>
      </c>
    </row>
    <row r="15" spans="1:13" x14ac:dyDescent="0.25">
      <c r="B15">
        <v>4</v>
      </c>
      <c r="D15">
        <v>22</v>
      </c>
      <c r="F15">
        <v>6</v>
      </c>
      <c r="G15" t="s">
        <v>13</v>
      </c>
      <c r="H15">
        <v>14</v>
      </c>
      <c r="I15">
        <f t="shared" si="0"/>
        <v>24014</v>
      </c>
      <c r="J15" t="s">
        <v>40</v>
      </c>
      <c r="K15" t="s">
        <v>41</v>
      </c>
      <c r="L15" t="str">
        <f>IF(OR(B15="",B15=0,D15="",D15=0,F15="",I15="",J15=""),"ERROR: Data wajib belum lengkap",IF(OR(B15&lt;1,B15&gt;12,D15&lt;1,D15&gt;31,AND(C15&lt;&gt;"",C15&lt;&gt;0,OR(C15&lt;1,C15&gt;12)),AND(E15&lt;&gt;"",E15&lt;&gt;0,OR(E15&lt;1,E15&gt;31))),"ERROR: Bulan atau hari tidak valid",IF(LEN(J15)&gt;39,"ERROR: Judul lebih dari 39 karakter","{""th"":"&amp;IF(A15="",0,A15)&amp;",""bm"":"&amp;B15&amp;",""bs"":"&amp;IF(OR(C15="",C15=0),B15,C15)&amp;",""hm"":"&amp;D15&amp;",""hs"":"&amp;IF(OR(E15="",E15=0),D15,E15)&amp;",""tp"":"&amp;F15&amp;IF(G15="","",",""sub"":"""&amp;SUBSTITUTE(SUBSTITUTE(LOWER(G15),CHAR(92),CHAR(92)&amp;CHAR(92)),CHAR(34),CHAR(92)&amp;CHAR(34))&amp;"""")&amp;",""id"":"&amp;I15&amp;",""jd"":"""&amp;SUBSTITUTE(SUBSTITUTE(J15,CHAR(92),CHAR(92)&amp;CHAR(92)),CHAR(34),CHAR(92)&amp;CHAR(34))&amp;"""}"&amp;IF(COUNTIF(I16:I$1000,"&lt;&gt;")&gt;0,",",""))))</f>
        <v>{"th":0,"bm":4,"bs":4,"hm":22,"hs":22,"tp":6,"sub":"un","id":24014,"jd":"International Mother Earth Day"},</v>
      </c>
      <c r="M15" t="str">
        <f>IF(OR(I15="",K15=""),"",""""&amp;I15&amp;""":{""ket"":"""&amp;SUBSTITUTE(SUBSTITUTE(SUBSTITUTE(SUBSTITUTE(K15,CHAR(92),CHAR(92)&amp;CHAR(92)),CHAR(34),CHAR(92)&amp;CHAR(34)),CHAR(13),""),CHAR(10),CHAR(92)&amp;"n")&amp;"""}"&amp;IF(COUNTIF(K16:K$1000,"&lt;&gt;")&gt;0,",",""))</f>
        <v>"24014":{"ket":"Established by UN resolution A/RES/63/278 to remind mankind of our collective interdependence on planet Earth and to promote global harmony with nature to counter climate change, biodiversity loss, and pollution."},</v>
      </c>
    </row>
    <row r="16" spans="1:13" x14ac:dyDescent="0.25">
      <c r="B16">
        <v>5</v>
      </c>
      <c r="D16">
        <v>3</v>
      </c>
      <c r="F16">
        <v>6</v>
      </c>
      <c r="G16" t="s">
        <v>13</v>
      </c>
      <c r="H16">
        <v>15</v>
      </c>
      <c r="I16">
        <f t="shared" si="0"/>
        <v>24015</v>
      </c>
      <c r="J16" t="s">
        <v>42</v>
      </c>
      <c r="K16" t="s">
        <v>43</v>
      </c>
      <c r="L16" t="str">
        <f>IF(OR(B16="",B16=0,D16="",D16=0,F16="",I16="",J16=""),"ERROR: Data wajib belum lengkap",IF(OR(B16&lt;1,B16&gt;12,D16&lt;1,D16&gt;31,AND(C16&lt;&gt;"",C16&lt;&gt;0,OR(C16&lt;1,C16&gt;12)),AND(E16&lt;&gt;"",E16&lt;&gt;0,OR(E16&lt;1,E16&gt;31))),"ERROR: Bulan atau hari tidak valid",IF(LEN(J16)&gt;39,"ERROR: Judul lebih dari 39 karakter","{""th"":"&amp;IF(A16="",0,A16)&amp;",""bm"":"&amp;B16&amp;",""bs"":"&amp;IF(OR(C16="",C16=0),B16,C16)&amp;",""hm"":"&amp;D16&amp;",""hs"":"&amp;IF(OR(E16="",E16=0),D16,E16)&amp;",""tp"":"&amp;F16&amp;IF(G16="","",",""sub"":"""&amp;SUBSTITUTE(SUBSTITUTE(LOWER(G16),CHAR(92),CHAR(92)&amp;CHAR(92)),CHAR(34),CHAR(92)&amp;CHAR(34))&amp;"""")&amp;",""id"":"&amp;I16&amp;",""jd"":"""&amp;SUBSTITUTE(SUBSTITUTE(J16,CHAR(92),CHAR(92)&amp;CHAR(92)),CHAR(34),CHAR(92)&amp;CHAR(34))&amp;"""}"&amp;IF(COUNTIF(I17:I$1000,"&lt;&gt;")&gt;0,",",""))))</f>
        <v>{"th":0,"bm":5,"bs":5,"hm":3,"hs":3,"tp":6,"sub":"un","id":24015,"jd":"World Press Freedom Day"},</v>
      </c>
      <c r="M16" t="str">
        <f>IF(OR(I16="",K16=""),"",""""&amp;I16&amp;""":{""ket"":"""&amp;SUBSTITUTE(SUBSTITUTE(SUBSTITUTE(SUBSTITUTE(K16,CHAR(92),CHAR(92)&amp;CHAR(92)),CHAR(34),CHAR(92)&amp;CHAR(34)),CHAR(13),""),CHAR(10),CHAR(92)&amp;"n")&amp;"""}"&amp;IF(COUNTIF(K17:K$1000,"&lt;&gt;")&gt;0,",",""))</f>
        <v>"24015":{"ket":"Proclaimed by the UN General Assembly to celebrate the fundamental principles of press freedom, evaluate press freedom around the world, defend the media from attacks on their independence, and pay tribute to journalists who lost their lives."},</v>
      </c>
    </row>
    <row r="17" spans="2:13" x14ac:dyDescent="0.25">
      <c r="B17">
        <v>5</v>
      </c>
      <c r="D17">
        <v>15</v>
      </c>
      <c r="F17">
        <v>6</v>
      </c>
      <c r="G17" t="s">
        <v>13</v>
      </c>
      <c r="H17">
        <v>16</v>
      </c>
      <c r="I17">
        <f t="shared" si="0"/>
        <v>24016</v>
      </c>
      <c r="J17" t="s">
        <v>44</v>
      </c>
      <c r="K17" t="s">
        <v>45</v>
      </c>
      <c r="L17" t="str">
        <f>IF(OR(B17="",B17=0,D17="",D17=0,F17="",I17="",J17=""),"ERROR: Data wajib belum lengkap",IF(OR(B17&lt;1,B17&gt;12,D17&lt;1,D17&gt;31,AND(C17&lt;&gt;"",C17&lt;&gt;0,OR(C17&lt;1,C17&gt;12)),AND(E17&lt;&gt;"",E17&lt;&gt;0,OR(E17&lt;1,E17&gt;31))),"ERROR: Bulan atau hari tidak valid",IF(LEN(J17)&gt;39,"ERROR: Judul lebih dari 39 karakter","{""th"":"&amp;IF(A17="",0,A17)&amp;",""bm"":"&amp;B17&amp;",""bs"":"&amp;IF(OR(C17="",C17=0),B17,C17)&amp;",""hm"":"&amp;D17&amp;",""hs"":"&amp;IF(OR(E17="",E17=0),D17,E17)&amp;",""tp"":"&amp;F17&amp;IF(G17="","",",""sub"":"""&amp;SUBSTITUTE(SUBSTITUTE(LOWER(G17),CHAR(92),CHAR(92)&amp;CHAR(92)),CHAR(34),CHAR(92)&amp;CHAR(34))&amp;"""")&amp;",""id"":"&amp;I17&amp;",""jd"":"""&amp;SUBSTITUTE(SUBSTITUTE(J17,CHAR(92),CHAR(92)&amp;CHAR(92)),CHAR(34),CHAR(92)&amp;CHAR(34))&amp;"""}"&amp;IF(COUNTIF(I18:I$1000,"&lt;&gt;")&gt;0,",",""))))</f>
        <v>{"th":0,"bm":5,"bs":5,"hm":15,"hs":15,"tp":6,"sub":"un","id":24016,"jd":"International Day of Families"},</v>
      </c>
      <c r="M17" t="str">
        <f>IF(OR(I17="",K17=""),"",""""&amp;I17&amp;""":{""ket"":"""&amp;SUBSTITUTE(SUBSTITUTE(SUBSTITUTE(SUBSTITUTE(K17,CHAR(92),CHAR(92)&amp;CHAR(92)),CHAR(34),CHAR(92)&amp;CHAR(34)),CHAR(13),""),CHAR(10),CHAR(92)&amp;"n")&amp;"""}"&amp;IF(COUNTIF(K18:K$1000,"&lt;&gt;")&gt;0,",",""))</f>
        <v>"24016":{"ket":"Proclaimed by UN resolution A/RES/47/237 to promote awareness of issues relating to families and to increase knowledge of the social, economic, and demographic processes affecting these fundamental units of society."},</v>
      </c>
    </row>
    <row r="18" spans="2:13" x14ac:dyDescent="0.25">
      <c r="B18">
        <v>5</v>
      </c>
      <c r="D18">
        <v>22</v>
      </c>
      <c r="F18">
        <v>6</v>
      </c>
      <c r="G18" t="s">
        <v>13</v>
      </c>
      <c r="H18">
        <v>17</v>
      </c>
      <c r="I18">
        <f t="shared" si="0"/>
        <v>24017</v>
      </c>
      <c r="J18" t="s">
        <v>46</v>
      </c>
      <c r="K18" t="s">
        <v>47</v>
      </c>
      <c r="L18" t="str">
        <f>IF(OR(B18="",B18=0,D18="",D18=0,F18="",I18="",J18=""),"ERROR: Data wajib belum lengkap",IF(OR(B18&lt;1,B18&gt;12,D18&lt;1,D18&gt;31,AND(C18&lt;&gt;"",C18&lt;&gt;0,OR(C18&lt;1,C18&gt;12)),AND(E18&lt;&gt;"",E18&lt;&gt;0,OR(E18&lt;1,E18&gt;31))),"ERROR: Bulan atau hari tidak valid",IF(LEN(J18)&gt;39,"ERROR: Judul lebih dari 39 karakter","{""th"":"&amp;IF(A18="",0,A18)&amp;",""bm"":"&amp;B18&amp;",""bs"":"&amp;IF(OR(C18="",C18=0),B18,C18)&amp;",""hm"":"&amp;D18&amp;",""hs"":"&amp;IF(OR(E18="",E18=0),D18,E18)&amp;",""tp"":"&amp;F18&amp;IF(G18="","",",""sub"":"""&amp;SUBSTITUTE(SUBSTITUTE(LOWER(G18),CHAR(92),CHAR(92)&amp;CHAR(92)),CHAR(34),CHAR(92)&amp;CHAR(34))&amp;"""")&amp;",""id"":"&amp;I18&amp;",""jd"":"""&amp;SUBSTITUTE(SUBSTITUTE(J18,CHAR(92),CHAR(92)&amp;CHAR(92)),CHAR(34),CHAR(92)&amp;CHAR(34))&amp;"""}"&amp;IF(COUNTIF(I19:I$1000,"&lt;&gt;")&gt;0,",",""))))</f>
        <v>{"th":0,"bm":5,"bs":5,"hm":22,"hs":22,"tp":6,"sub":"un","id":24017,"jd":"Intl. Day for Biological Diversity"},</v>
      </c>
      <c r="M18" t="str">
        <f>IF(OR(I18="",K18=""),"",""""&amp;I18&amp;""":{""ket"":"""&amp;SUBSTITUTE(SUBSTITUTE(SUBSTITUTE(SUBSTITUTE(K18,CHAR(92),CHAR(92)&amp;CHAR(92)),CHAR(34),CHAR(92)&amp;CHAR(34)),CHAR(13),""),CHAR(10),CHAR(92)&amp;"n")&amp;"""}"&amp;IF(COUNTIF(K19:K$1000,"&lt;&gt;")&gt;0,",",""))</f>
        <v>"24017":{"ket":"Sanctioned by the United Nations via resolution A/RES/55/201 to increase understanding and deep awareness of biodiversity issues, ecosystem preservation, and sustainable resource management."},</v>
      </c>
    </row>
    <row r="19" spans="2:13" x14ac:dyDescent="0.25">
      <c r="B19">
        <v>6</v>
      </c>
      <c r="D19">
        <v>5</v>
      </c>
      <c r="F19">
        <v>6</v>
      </c>
      <c r="G19" t="s">
        <v>13</v>
      </c>
      <c r="H19">
        <v>18</v>
      </c>
      <c r="I19">
        <f t="shared" si="0"/>
        <v>24018</v>
      </c>
      <c r="J19" t="s">
        <v>48</v>
      </c>
      <c r="K19" t="s">
        <v>49</v>
      </c>
      <c r="L19" t="str">
        <f>IF(OR(B19="",B19=0,D19="",D19=0,F19="",I19="",J19=""),"ERROR: Data wajib belum lengkap",IF(OR(B19&lt;1,B19&gt;12,D19&lt;1,D19&gt;31,AND(C19&lt;&gt;"",C19&lt;&gt;0,OR(C19&lt;1,C19&gt;12)),AND(E19&lt;&gt;"",E19&lt;&gt;0,OR(E19&lt;1,E19&gt;31))),"ERROR: Bulan atau hari tidak valid",IF(LEN(J19)&gt;39,"ERROR: Judul lebih dari 39 karakter","{""th"":"&amp;IF(A19="",0,A19)&amp;",""bm"":"&amp;B19&amp;",""bs"":"&amp;IF(OR(C19="",C19=0),B19,C19)&amp;",""hm"":"&amp;D19&amp;",""hs"":"&amp;IF(OR(E19="",E19=0),D19,E19)&amp;",""tp"":"&amp;F19&amp;IF(G19="","",",""sub"":"""&amp;SUBSTITUTE(SUBSTITUTE(LOWER(G19),CHAR(92),CHAR(92)&amp;CHAR(92)),CHAR(34),CHAR(92)&amp;CHAR(34))&amp;"""")&amp;",""id"":"&amp;I19&amp;",""jd"":"""&amp;SUBSTITUTE(SUBSTITUTE(J19,CHAR(92),CHAR(92)&amp;CHAR(92)),CHAR(34),CHAR(92)&amp;CHAR(34))&amp;"""}"&amp;IF(COUNTIF(I20:I$1000,"&lt;&gt;")&gt;0,",",""))))</f>
        <v>{"th":0,"bm":6,"bs":6,"hm":5,"hs":5,"tp":6,"sub":"un","id":24018,"jd":"World Environment Day"},</v>
      </c>
      <c r="M19" t="str">
        <f>IF(OR(I19="",K19=""),"",""""&amp;I19&amp;""":{""ket"":"""&amp;SUBSTITUTE(SUBSTITUTE(SUBSTITUTE(SUBSTITUTE(K19,CHAR(92),CHAR(92)&amp;CHAR(92)),CHAR(34),CHAR(92)&amp;CHAR(34)),CHAR(13),""),CHAR(10),CHAR(92)&amp;"n")&amp;"""}"&amp;IF(COUNTIF(K20:K$1000,"&lt;&gt;")&gt;0,",",""))</f>
        <v>"24018":{"ket":"Led by the UN Environment Programme (UNEP) since 1973, it has grown to be the largest global platform for environmental public outreach, encouraging worldwide awareness and action to protect our environment."},</v>
      </c>
    </row>
    <row r="20" spans="2:13" x14ac:dyDescent="0.25">
      <c r="B20">
        <v>6</v>
      </c>
      <c r="D20">
        <v>8</v>
      </c>
      <c r="F20">
        <v>6</v>
      </c>
      <c r="G20" t="s">
        <v>13</v>
      </c>
      <c r="H20">
        <v>19</v>
      </c>
      <c r="I20">
        <f t="shared" si="0"/>
        <v>24019</v>
      </c>
      <c r="J20" t="s">
        <v>50</v>
      </c>
      <c r="K20" t="s">
        <v>51</v>
      </c>
      <c r="L20" t="str">
        <f>IF(OR(B20="",B20=0,D20="",D20=0,F20="",I20="",J20=""),"ERROR: Data wajib belum lengkap",IF(OR(B20&lt;1,B20&gt;12,D20&lt;1,D20&gt;31,AND(C20&lt;&gt;"",C20&lt;&gt;0,OR(C20&lt;1,C20&gt;12)),AND(E20&lt;&gt;"",E20&lt;&gt;0,OR(E20&lt;1,E20&gt;31))),"ERROR: Bulan atau hari tidak valid",IF(LEN(J20)&gt;39,"ERROR: Judul lebih dari 39 karakter","{""th"":"&amp;IF(A20="",0,A20)&amp;",""bm"":"&amp;B20&amp;",""bs"":"&amp;IF(OR(C20="",C20=0),B20,C20)&amp;",""hm"":"&amp;D20&amp;",""hs"":"&amp;IF(OR(E20="",E20=0),D20,E20)&amp;",""tp"":"&amp;F20&amp;IF(G20="","",",""sub"":"""&amp;SUBSTITUTE(SUBSTITUTE(LOWER(G20),CHAR(92),CHAR(92)&amp;CHAR(92)),CHAR(34),CHAR(92)&amp;CHAR(34))&amp;"""")&amp;",""id"":"&amp;I20&amp;",""jd"":"""&amp;SUBSTITUTE(SUBSTITUTE(J20,CHAR(92),CHAR(92)&amp;CHAR(92)),CHAR(34),CHAR(92)&amp;CHAR(34))&amp;"""}"&amp;IF(COUNTIF(I21:I$1000,"&lt;&gt;")&gt;0,",",""))))</f>
        <v>{"th":0,"bm":6,"bs":6,"hm":8,"hs":8,"tp":6,"sub":"un","id":24019,"jd":"World Oceans Day"},</v>
      </c>
      <c r="M20" t="str">
        <f>IF(OR(I20="",K20=""),"",""""&amp;I20&amp;""":{""ket"":"""&amp;SUBSTITUTE(SUBSTITUTE(SUBSTITUTE(SUBSTITUTE(K20,CHAR(92),CHAR(92)&amp;CHAR(92)),CHAR(34),CHAR(92)&amp;CHAR(34)),CHAR(13),""),CHAR(10),CHAR(92)&amp;"n")&amp;"""}"&amp;IF(COUNTIF(K21:K$1000,"&lt;&gt;")&gt;0,",",""))</f>
        <v>"24019":{"ket":"Officially designated by UN resolution A/RES/63/111 to celebrate the ocean's role as the lungs of our planet, a major source of food and medicine, and a critical part of the biosphere that requires global protection from pollution."},</v>
      </c>
    </row>
    <row r="21" spans="2:13" x14ac:dyDescent="0.25">
      <c r="B21">
        <v>6</v>
      </c>
      <c r="D21">
        <v>20</v>
      </c>
      <c r="F21">
        <v>6</v>
      </c>
      <c r="G21" t="s">
        <v>13</v>
      </c>
      <c r="H21">
        <v>20</v>
      </c>
      <c r="I21">
        <f t="shared" si="0"/>
        <v>24020</v>
      </c>
      <c r="J21" t="s">
        <v>52</v>
      </c>
      <c r="K21" t="s">
        <v>53</v>
      </c>
      <c r="L21" t="str">
        <f>IF(OR(B21="",B21=0,D21="",D21=0,F21="",I21="",J21=""),"ERROR: Data wajib belum lengkap",IF(OR(B21&lt;1,B21&gt;12,D21&lt;1,D21&gt;31,AND(C21&lt;&gt;"",C21&lt;&gt;0,OR(C21&lt;1,C21&gt;12)),AND(E21&lt;&gt;"",E21&lt;&gt;0,OR(E21&lt;1,E21&gt;31))),"ERROR: Bulan atau hari tidak valid",IF(LEN(J21)&gt;39,"ERROR: Judul lebih dari 39 karakter","{""th"":"&amp;IF(A21="",0,A21)&amp;",""bm"":"&amp;B21&amp;",""bs"":"&amp;IF(OR(C21="",C21=0),B21,C21)&amp;",""hm"":"&amp;D21&amp;",""hs"":"&amp;IF(OR(E21="",E21=0),D21,E21)&amp;",""tp"":"&amp;F21&amp;IF(G21="","",",""sub"":"""&amp;SUBSTITUTE(SUBSTITUTE(LOWER(G21),CHAR(92),CHAR(92)&amp;CHAR(92)),CHAR(34),CHAR(92)&amp;CHAR(34))&amp;"""")&amp;",""id"":"&amp;I21&amp;",""jd"":"""&amp;SUBSTITUTE(SUBSTITUTE(J21,CHAR(92),CHAR(92)&amp;CHAR(92)),CHAR(34),CHAR(92)&amp;CHAR(34))&amp;"""}"&amp;IF(COUNTIF(I22:I$1000,"&lt;&gt;")&gt;0,",",""))))</f>
        <v>{"th":0,"bm":6,"bs":6,"hm":20,"hs":20,"tp":6,"sub":"un","id":24020,"jd":"World Refugee Day"},</v>
      </c>
      <c r="M21" t="str">
        <f>IF(OR(I21="",K21=""),"",""""&amp;I21&amp;""":{""ket"":"""&amp;SUBSTITUTE(SUBSTITUTE(SUBSTITUTE(SUBSTITUTE(K21,CHAR(92),CHAR(92)&amp;CHAR(92)),CHAR(34),CHAR(92)&amp;CHAR(34)),CHAR(13),""),CHAR(10),CHAR(92)&amp;"n")&amp;"""}"&amp;IF(COUNTIF(K22:K$1000,"&lt;&gt;")&gt;0,",",""))</f>
        <v>"24020":{"ket":"Designated by UN resolution A/RES/55/76 to honor the strength, courage, and resilience of millions of refugees worldwide who have been forced to flee their homelands due to conflict, war, or persecution."},</v>
      </c>
    </row>
    <row r="22" spans="2:13" x14ac:dyDescent="0.25">
      <c r="B22">
        <v>6</v>
      </c>
      <c r="D22">
        <v>21</v>
      </c>
      <c r="F22">
        <v>6</v>
      </c>
      <c r="G22" t="s">
        <v>13</v>
      </c>
      <c r="H22">
        <v>21</v>
      </c>
      <c r="I22">
        <f t="shared" si="0"/>
        <v>24021</v>
      </c>
      <c r="J22" t="s">
        <v>54</v>
      </c>
      <c r="K22" t="s">
        <v>55</v>
      </c>
      <c r="L22" t="str">
        <f>IF(OR(B22="",B22=0,D22="",D22=0,F22="",I22="",J22=""),"ERROR: Data wajib belum lengkap",IF(OR(B22&lt;1,B22&gt;12,D22&lt;1,D22&gt;31,AND(C22&lt;&gt;"",C22&lt;&gt;0,OR(C22&lt;1,C22&gt;12)),AND(E22&lt;&gt;"",E22&lt;&gt;0,OR(E22&lt;1,E22&gt;31))),"ERROR: Bulan atau hari tidak valid",IF(LEN(J22)&gt;39,"ERROR: Judul lebih dari 39 karakter","{""th"":"&amp;IF(A22="",0,A22)&amp;",""bm"":"&amp;B22&amp;",""bs"":"&amp;IF(OR(C22="",C22=0),B22,C22)&amp;",""hm"":"&amp;D22&amp;",""hs"":"&amp;IF(OR(E22="",E22=0),D22,E22)&amp;",""tp"":"&amp;F22&amp;IF(G22="","",",""sub"":"""&amp;SUBSTITUTE(SUBSTITUTE(LOWER(G22),CHAR(92),CHAR(92)&amp;CHAR(92)),CHAR(34),CHAR(92)&amp;CHAR(34))&amp;"""")&amp;",""id"":"&amp;I22&amp;",""jd"":"""&amp;SUBSTITUTE(SUBSTITUTE(J22,CHAR(92),CHAR(92)&amp;CHAR(92)),CHAR(34),CHAR(92)&amp;CHAR(34))&amp;"""}"&amp;IF(COUNTIF(I23:I$1000,"&lt;&gt;")&gt;0,",",""))))</f>
        <v>{"th":0,"bm":6,"bs":6,"hm":21,"hs":21,"tp":6,"sub":"un","id":24021,"jd":"International Day of Yoga"},</v>
      </c>
      <c r="M22" t="str">
        <f>IF(OR(I22="",K22=""),"",""""&amp;I22&amp;""":{""ket"":"""&amp;SUBSTITUTE(SUBSTITUTE(SUBSTITUTE(SUBSTITUTE(K22,CHAR(92),CHAR(92)&amp;CHAR(92)),CHAR(34),CHAR(92)&amp;CHAR(34)),CHAR(13),""),CHAR(10),CHAR(92)&amp;"n")&amp;"""}"&amp;IF(COUNTIF(K23:K$1000,"&lt;&gt;")&gt;0,",",""))</f>
        <v>"24021":{"ket":"Established by UN resolution A/RES/69/131 following an initiative by India, aiming to raise global awareness of the holistic benefits of practicing yoga and meditation for physical health and mental well-being."},</v>
      </c>
    </row>
    <row r="23" spans="2:13" x14ac:dyDescent="0.25">
      <c r="B23">
        <v>6</v>
      </c>
      <c r="D23">
        <v>30</v>
      </c>
      <c r="F23">
        <v>6</v>
      </c>
      <c r="G23" t="s">
        <v>13</v>
      </c>
      <c r="H23">
        <v>22</v>
      </c>
      <c r="I23">
        <f t="shared" si="0"/>
        <v>24022</v>
      </c>
      <c r="J23" t="s">
        <v>56</v>
      </c>
      <c r="K23" t="s">
        <v>57</v>
      </c>
      <c r="L23" t="str">
        <f>IF(OR(B23="",B23=0,D23="",D23=0,F23="",I23="",J23=""),"ERROR: Data wajib belum lengkap",IF(OR(B23&lt;1,B23&gt;12,D23&lt;1,D23&gt;31,AND(C23&lt;&gt;"",C23&lt;&gt;0,OR(C23&lt;1,C23&gt;12)),AND(E23&lt;&gt;"",E23&lt;&gt;0,OR(E23&lt;1,E23&gt;31))),"ERROR: Bulan atau hari tidak valid",IF(LEN(J23)&gt;39,"ERROR: Judul lebih dari 39 karakter","{""th"":"&amp;IF(A23="",0,A23)&amp;",""bm"":"&amp;B23&amp;",""bs"":"&amp;IF(OR(C23="",C23=0),B23,C23)&amp;",""hm"":"&amp;D23&amp;",""hs"":"&amp;IF(OR(E23="",E23=0),D23,E23)&amp;",""tp"":"&amp;F23&amp;IF(G23="","",",""sub"":"""&amp;SUBSTITUTE(SUBSTITUTE(LOWER(G23),CHAR(92),CHAR(92)&amp;CHAR(92)),CHAR(34),CHAR(92)&amp;CHAR(34))&amp;"""")&amp;",""id"":"&amp;I23&amp;",""jd"":"""&amp;SUBSTITUTE(SUBSTITUTE(J23,CHAR(92),CHAR(92)&amp;CHAR(92)),CHAR(34),CHAR(92)&amp;CHAR(34))&amp;"""}"&amp;IF(COUNTIF(I24:I$1000,"&lt;&gt;")&gt;0,",",""))))</f>
        <v>{"th":0,"bm":6,"bs":6,"hm":30,"hs":30,"tp":6,"sub":"un","id":24022,"jd":"International Asteroid Day"},</v>
      </c>
      <c r="M23" t="str">
        <f>IF(OR(I23="",K23=""),"",""""&amp;I23&amp;""":{""ket"":"""&amp;SUBSTITUTE(SUBSTITUTE(SUBSTITUTE(SUBSTITUTE(K23,CHAR(92),CHAR(92)&amp;CHAR(92)),CHAR(34),CHAR(92)&amp;CHAR(34)),CHAR(13),""),CHAR(10),CHAR(92)&amp;"n")&amp;"""}"&amp;IF(COUNTIF(K24:K$1000,"&lt;&gt;")&gt;0,",",""))</f>
        <v>"24022":{"ket":"Sanctioned by UN resolution A/RES/71/90 to educate the public about asteroid impact hazards and global crisis communication, marking the anniversary of the Earth's largest recorded asteroid impact in Tunguska, Siberia, in 1908."},</v>
      </c>
    </row>
    <row r="24" spans="2:13" x14ac:dyDescent="0.25">
      <c r="B24">
        <v>7</v>
      </c>
      <c r="D24">
        <v>11</v>
      </c>
      <c r="F24">
        <v>6</v>
      </c>
      <c r="G24" t="s">
        <v>13</v>
      </c>
      <c r="H24">
        <v>23</v>
      </c>
      <c r="I24">
        <f t="shared" si="0"/>
        <v>24023</v>
      </c>
      <c r="J24" t="s">
        <v>58</v>
      </c>
      <c r="K24" t="s">
        <v>59</v>
      </c>
      <c r="L24" t="str">
        <f>IF(OR(B24="",B24=0,D24="",D24=0,F24="",I24="",J24=""),"ERROR: Data wajib belum lengkap",IF(OR(B24&lt;1,B24&gt;12,D24&lt;1,D24&gt;31,AND(C24&lt;&gt;"",C24&lt;&gt;0,OR(C24&lt;1,C24&gt;12)),AND(E24&lt;&gt;"",E24&lt;&gt;0,OR(E24&lt;1,E24&gt;31))),"ERROR: Bulan atau hari tidak valid",IF(LEN(J24)&gt;39,"ERROR: Judul lebih dari 39 karakter","{""th"":"&amp;IF(A24="",0,A24)&amp;",""bm"":"&amp;B24&amp;",""bs"":"&amp;IF(OR(C24="",C24=0),B24,C24)&amp;",""hm"":"&amp;D24&amp;",""hs"":"&amp;IF(OR(E24="",E24=0),D24,E24)&amp;",""tp"":"&amp;F24&amp;IF(G24="","",",""sub"":"""&amp;SUBSTITUTE(SUBSTITUTE(LOWER(G24),CHAR(92),CHAR(92)&amp;CHAR(92)),CHAR(34),CHAR(92)&amp;CHAR(34))&amp;"""")&amp;",""id"":"&amp;I24&amp;",""jd"":"""&amp;SUBSTITUTE(SUBSTITUTE(J24,CHAR(92),CHAR(92)&amp;CHAR(92)),CHAR(34),CHAR(92)&amp;CHAR(34))&amp;"""}"&amp;IF(COUNTIF(I25:I$1000,"&lt;&gt;")&gt;0,",",""))))</f>
        <v>{"th":0,"bm":7,"bs":7,"hm":11,"hs":11,"tp":6,"sub":"un","id":24023,"jd":"World Population Day"},</v>
      </c>
      <c r="M24" t="str">
        <f>IF(OR(I24="",K24=""),"",""""&amp;I24&amp;""":{""ket"":"""&amp;SUBSTITUTE(SUBSTITUTE(SUBSTITUTE(SUBSTITUTE(K24,CHAR(92),CHAR(92)&amp;CHAR(92)),CHAR(34),CHAR(92)&amp;CHAR(34)),CHAR(13),""),CHAR(10),CHAR(92)&amp;"n")&amp;"""}"&amp;IF(COUNTIF(K25:K$1000,"&lt;&gt;")&gt;0,",",""))</f>
        <v>"24023":{"ket":"Established by the Governing Council of the UNDP in 1989 to focus urgent attention on the importance of population issues, including reproductive health, family planning, gender equality, and sustainable development."},</v>
      </c>
    </row>
    <row r="25" spans="2:13" x14ac:dyDescent="0.25">
      <c r="B25">
        <v>7</v>
      </c>
      <c r="D25">
        <v>18</v>
      </c>
      <c r="F25">
        <v>6</v>
      </c>
      <c r="G25" t="s">
        <v>13</v>
      </c>
      <c r="H25">
        <v>24</v>
      </c>
      <c r="I25">
        <f t="shared" si="0"/>
        <v>24024</v>
      </c>
      <c r="J25" t="s">
        <v>60</v>
      </c>
      <c r="K25" t="s">
        <v>61</v>
      </c>
      <c r="L25" t="str">
        <f>IF(OR(B25="",B25=0,D25="",D25=0,F25="",I25="",J25=""),"ERROR: Data wajib belum lengkap",IF(OR(B25&lt;1,B25&gt;12,D25&lt;1,D25&gt;31,AND(C25&lt;&gt;"",C25&lt;&gt;0,OR(C25&lt;1,C25&gt;12)),AND(E25&lt;&gt;"",E25&lt;&gt;0,OR(E25&lt;1,E25&gt;31))),"ERROR: Bulan atau hari tidak valid",IF(LEN(J25)&gt;39,"ERROR: Judul lebih dari 39 karakter","{""th"":"&amp;IF(A25="",0,A25)&amp;",""bm"":"&amp;B25&amp;",""bs"":"&amp;IF(OR(C25="",C25=0),B25,C25)&amp;",""hm"":"&amp;D25&amp;",""hs"":"&amp;IF(OR(E25="",E25=0),D25,E25)&amp;",""tp"":"&amp;F25&amp;IF(G25="","",",""sub"":"""&amp;SUBSTITUTE(SUBSTITUTE(LOWER(G25),CHAR(92),CHAR(92)&amp;CHAR(92)),CHAR(34),CHAR(92)&amp;CHAR(34))&amp;"""")&amp;",""id"":"&amp;I25&amp;",""jd"":"""&amp;SUBSTITUTE(SUBSTITUTE(J25,CHAR(92),CHAR(92)&amp;CHAR(92)),CHAR(34),CHAR(92)&amp;CHAR(34))&amp;"""}"&amp;IF(COUNTIF(I26:I$1000,"&lt;&gt;")&gt;0,",",""))))</f>
        <v>{"th":0,"bm":7,"bs":7,"hm":18,"hs":18,"tp":6,"sub":"un","id":24024,"jd":"Nelson Mandela International Day"},</v>
      </c>
      <c r="M25" t="str">
        <f>IF(OR(I25="",K25=""),"",""""&amp;I25&amp;""":{""ket"":"""&amp;SUBSTITUTE(SUBSTITUTE(SUBSTITUTE(SUBSTITUTE(K25,CHAR(92),CHAR(92)&amp;CHAR(92)),CHAR(34),CHAR(92)&amp;CHAR(34)),CHAR(13),""),CHAR(10),CHAR(92)&amp;"n")&amp;"""}"&amp;IF(COUNTIF(K26:K$1000,"&lt;&gt;")&gt;0,",",""))</f>
        <v>"24024":{"ket":"Declared by the UN via resolution A/RES/64/13 to honor Mandela's legacy in conflict resolution, race relations, and human rights promotion. It encourages individuals to dedicate 67 minutes to public service, matching his 67 years of activism."},</v>
      </c>
    </row>
    <row r="26" spans="2:13" x14ac:dyDescent="0.25">
      <c r="B26">
        <v>8</v>
      </c>
      <c r="D26">
        <v>12</v>
      </c>
      <c r="F26">
        <v>6</v>
      </c>
      <c r="G26" t="s">
        <v>13</v>
      </c>
      <c r="H26">
        <v>25</v>
      </c>
      <c r="I26">
        <f t="shared" si="0"/>
        <v>24025</v>
      </c>
      <c r="J26" t="s">
        <v>62</v>
      </c>
      <c r="K26" t="s">
        <v>63</v>
      </c>
      <c r="L26" t="str">
        <f>IF(OR(B26="",B26=0,D26="",D26=0,F26="",I26="",J26=""),"ERROR: Data wajib belum lengkap",IF(OR(B26&lt;1,B26&gt;12,D26&lt;1,D26&gt;31,AND(C26&lt;&gt;"",C26&lt;&gt;0,OR(C26&lt;1,C26&gt;12)),AND(E26&lt;&gt;"",E26&lt;&gt;0,OR(E26&lt;1,E26&gt;31))),"ERROR: Bulan atau hari tidak valid",IF(LEN(J26)&gt;39,"ERROR: Judul lebih dari 39 karakter","{""th"":"&amp;IF(A26="",0,A26)&amp;",""bm"":"&amp;B26&amp;",""bs"":"&amp;IF(OR(C26="",C26=0),B26,C26)&amp;",""hm"":"&amp;D26&amp;",""hs"":"&amp;IF(OR(E26="",E26=0),D26,E26)&amp;",""tp"":"&amp;F26&amp;IF(G26="","",",""sub"":"""&amp;SUBSTITUTE(SUBSTITUTE(LOWER(G26),CHAR(92),CHAR(92)&amp;CHAR(92)),CHAR(34),CHAR(92)&amp;CHAR(34))&amp;"""")&amp;",""id"":"&amp;I26&amp;",""jd"":"""&amp;SUBSTITUTE(SUBSTITUTE(J26,CHAR(92),CHAR(92)&amp;CHAR(92)),CHAR(34),CHAR(92)&amp;CHAR(34))&amp;"""}"&amp;IF(COUNTIF(I27:I$1000,"&lt;&gt;")&gt;0,",",""))))</f>
        <v>{"th":0,"bm":8,"bs":8,"hm":12,"hs":12,"tp":6,"sub":"un","id":24025,"jd":"International Youth Day"},</v>
      </c>
      <c r="M26" t="str">
        <f>IF(OR(I26="",K26=""),"",""""&amp;I26&amp;""":{""ket"":"""&amp;SUBSTITUTE(SUBSTITUTE(SUBSTITUTE(SUBSTITUTE(K26,CHAR(92),CHAR(92)&amp;CHAR(92)),CHAR(34),CHAR(92)&amp;CHAR(34)),CHAR(13),""),CHAR(10),CHAR(92)&amp;"n")&amp;"""}"&amp;IF(COUNTIF(K27:K$1000,"&lt;&gt;")&gt;0,",",""))</f>
        <v>"24025":{"ket":"Designated by UN resolution A/RES/54/120 to celebrate the input of young people as essential agents of change in global society, while drawing attention to youth-related legal, economic, and social challenges."},</v>
      </c>
    </row>
    <row r="27" spans="2:13" x14ac:dyDescent="0.25">
      <c r="B27">
        <v>8</v>
      </c>
      <c r="D27">
        <v>19</v>
      </c>
      <c r="F27">
        <v>6</v>
      </c>
      <c r="G27" t="s">
        <v>13</v>
      </c>
      <c r="H27">
        <v>26</v>
      </c>
      <c r="I27">
        <f t="shared" si="0"/>
        <v>24026</v>
      </c>
      <c r="J27" t="s">
        <v>64</v>
      </c>
      <c r="K27" t="s">
        <v>65</v>
      </c>
      <c r="L27" t="str">
        <f>IF(OR(B27="",B27=0,D27="",D27=0,F27="",I27="",J27=""),"ERROR: Data wajib belum lengkap",IF(OR(B27&lt;1,B27&gt;12,D27&lt;1,D27&gt;31,AND(C27&lt;&gt;"",C27&lt;&gt;0,OR(C27&lt;1,C27&gt;12)),AND(E27&lt;&gt;"",E27&lt;&gt;0,OR(E27&lt;1,E27&gt;31))),"ERROR: Bulan atau hari tidak valid",IF(LEN(J27)&gt;39,"ERROR: Judul lebih dari 39 karakter","{""th"":"&amp;IF(A27="",0,A27)&amp;",""bm"":"&amp;B27&amp;",""bs"":"&amp;IF(OR(C27="",C27=0),B27,C27)&amp;",""hm"":"&amp;D27&amp;",""hs"":"&amp;IF(OR(E27="",E27=0),D27,E27)&amp;",""tp"":"&amp;F27&amp;IF(G27="","",",""sub"":"""&amp;SUBSTITUTE(SUBSTITUTE(LOWER(G27),CHAR(92),CHAR(92)&amp;CHAR(92)),CHAR(34),CHAR(92)&amp;CHAR(34))&amp;"""")&amp;",""id"":"&amp;I27&amp;",""jd"":"""&amp;SUBSTITUTE(SUBSTITUTE(J27,CHAR(92),CHAR(92)&amp;CHAR(92)),CHAR(34),CHAR(92)&amp;CHAR(34))&amp;"""}"&amp;IF(COUNTIF(I28:I$1000,"&lt;&gt;")&gt;0,",",""))))</f>
        <v>{"th":0,"bm":8,"bs":8,"hm":19,"hs":19,"tp":6,"sub":"un","id":24026,"jd":"World Humanitarian Day"},</v>
      </c>
      <c r="M27" t="str">
        <f>IF(OR(I27="",K27=""),"",""""&amp;I27&amp;""":{""ket"":"""&amp;SUBSTITUTE(SUBSTITUTE(SUBSTITUTE(SUBSTITUTE(K27,CHAR(92),CHAR(92)&amp;CHAR(92)),CHAR(34),CHAR(92)&amp;CHAR(34)),CHAR(13),""),CHAR(10),CHAR(92)&amp;"n")&amp;"""}"&amp;IF(COUNTIF(K28:K$1000,"&lt;&gt;")&gt;0,",",""))</f>
        <v>"24026":{"ket":"Designated by UN resolution A/RES/63/139 to commemorate the 2003 bomb attack on the Canal Hotel in Baghdad that killed 22 aid workers, honoring the dedication of humanitarian personnel and volunteers worldwide."},</v>
      </c>
    </row>
    <row r="28" spans="2:13" x14ac:dyDescent="0.25">
      <c r="B28">
        <v>9</v>
      </c>
      <c r="D28">
        <v>8</v>
      </c>
      <c r="F28">
        <v>6</v>
      </c>
      <c r="G28" t="s">
        <v>13</v>
      </c>
      <c r="H28">
        <v>27</v>
      </c>
      <c r="I28">
        <f t="shared" si="0"/>
        <v>24027</v>
      </c>
      <c r="J28" t="s">
        <v>66</v>
      </c>
      <c r="K28" t="s">
        <v>67</v>
      </c>
      <c r="L28" t="str">
        <f>IF(OR(B28="",B28=0,D28="",D28=0,F28="",I28="",J28=""),"ERROR: Data wajib belum lengkap",IF(OR(B28&lt;1,B28&gt;12,D28&lt;1,D28&gt;31,AND(C28&lt;&gt;"",C28&lt;&gt;0,OR(C28&lt;1,C28&gt;12)),AND(E28&lt;&gt;"",E28&lt;&gt;0,OR(E28&lt;1,E28&gt;31))),"ERROR: Bulan atau hari tidak valid",IF(LEN(J28)&gt;39,"ERROR: Judul lebih dari 39 karakter","{""th"":"&amp;IF(A28="",0,A28)&amp;",""bm"":"&amp;B28&amp;",""bs"":"&amp;IF(OR(C28="",C28=0),B28,C28)&amp;",""hm"":"&amp;D28&amp;",""hs"":"&amp;IF(OR(E28="",E28=0),D28,E28)&amp;",""tp"":"&amp;F28&amp;IF(G28="","",",""sub"":"""&amp;SUBSTITUTE(SUBSTITUTE(LOWER(G28),CHAR(92),CHAR(92)&amp;CHAR(92)),CHAR(34),CHAR(92)&amp;CHAR(34))&amp;"""")&amp;",""id"":"&amp;I28&amp;",""jd"":"""&amp;SUBSTITUTE(SUBSTITUTE(J28,CHAR(92),CHAR(92)&amp;CHAR(92)),CHAR(34),CHAR(92)&amp;CHAR(34))&amp;"""}"&amp;IF(COUNTIF(I29:I$1000,"&lt;&gt;")&gt;0,",",""))))</f>
        <v>{"th":0,"bm":9,"bs":9,"hm":8,"hs":8,"tp":6,"sub":"un","id":24027,"jd":"International Literacy Day"},</v>
      </c>
      <c r="M28" t="str">
        <f>IF(OR(I28="",K28=""),"",""""&amp;I28&amp;""":{""ket"":"""&amp;SUBSTITUTE(SUBSTITUTE(SUBSTITUTE(SUBSTITUTE(K28,CHAR(92),CHAR(92)&amp;CHAR(92)),CHAR(34),CHAR(92)&amp;CHAR(34)),CHAR(13),""),CHAR(10),CHAR(92)&amp;"n")&amp;"""}"&amp;IF(COUNTIF(K29:K$1000,"&lt;&gt;")&gt;0,",",""))</f>
        <v>"24027":{"ket":"Proclaimed by UNESCO to remind the international community of the importance of literacy for individuals, communities, and societies, and the need for intensified efforts towards more literate global populations."},</v>
      </c>
    </row>
    <row r="29" spans="2:13" x14ac:dyDescent="0.25">
      <c r="B29">
        <v>9</v>
      </c>
      <c r="D29">
        <v>15</v>
      </c>
      <c r="F29">
        <v>6</v>
      </c>
      <c r="G29" t="s">
        <v>13</v>
      </c>
      <c r="H29">
        <v>28</v>
      </c>
      <c r="I29">
        <f t="shared" si="0"/>
        <v>24028</v>
      </c>
      <c r="J29" t="s">
        <v>68</v>
      </c>
      <c r="K29" t="s">
        <v>69</v>
      </c>
      <c r="L29" t="str">
        <f>IF(OR(B29="",B29=0,D29="",D29=0,F29="",I29="",J29=""),"ERROR: Data wajib belum lengkap",IF(OR(B29&lt;1,B29&gt;12,D29&lt;1,D29&gt;31,AND(C29&lt;&gt;"",C29&lt;&gt;0,OR(C29&lt;1,C29&gt;12)),AND(E29&lt;&gt;"",E29&lt;&gt;0,OR(E29&lt;1,E29&gt;31))),"ERROR: Bulan atau hari tidak valid",IF(LEN(J29)&gt;39,"ERROR: Judul lebih dari 39 karakter","{""th"":"&amp;IF(A29="",0,A29)&amp;",""bm"":"&amp;B29&amp;",""bs"":"&amp;IF(OR(C29="",C29=0),B29,C29)&amp;",""hm"":"&amp;D29&amp;",""hs"":"&amp;IF(OR(E29="",E29=0),D29,E29)&amp;",""tp"":"&amp;F29&amp;IF(G29="","",",""sub"":"""&amp;SUBSTITUTE(SUBSTITUTE(LOWER(G29),CHAR(92),CHAR(92)&amp;CHAR(92)),CHAR(34),CHAR(92)&amp;CHAR(34))&amp;"""")&amp;",""id"":"&amp;I29&amp;",""jd"":"""&amp;SUBSTITUTE(SUBSTITUTE(J29,CHAR(92),CHAR(92)&amp;CHAR(92)),CHAR(34),CHAR(92)&amp;CHAR(34))&amp;"""}"&amp;IF(COUNTIF(I30:I$1000,"&lt;&gt;")&gt;0,",",""))))</f>
        <v>{"th":0,"bm":9,"bs":9,"hm":15,"hs":15,"tp":6,"sub":"un","id":24028,"jd":"International Day of Democracy"},</v>
      </c>
      <c r="M29" t="str">
        <f>IF(OR(I29="",K29=""),"",""""&amp;I29&amp;""":{""ket"":"""&amp;SUBSTITUTE(SUBSTITUTE(SUBSTITUTE(SUBSTITUTE(K29,CHAR(92),CHAR(92)&amp;CHAR(92)),CHAR(34),CHAR(92)&amp;CHAR(34)),CHAR(13),""),CHAR(10),CHAR(92)&amp;"n")&amp;"""}"&amp;IF(COUNTIF(K30:K$1000,"&lt;&gt;")&gt;0,",",""))</f>
        <v>"24028":{"ket":"Established by UN resolution A/RES/62/7 to provide an opportunity to review the state of democracy in the world and to promote the core principles of inclusivity, institutional transparency, and human rights."},</v>
      </c>
    </row>
    <row r="30" spans="2:13" x14ac:dyDescent="0.25">
      <c r="B30">
        <v>9</v>
      </c>
      <c r="D30">
        <v>21</v>
      </c>
      <c r="F30">
        <v>6</v>
      </c>
      <c r="G30" t="s">
        <v>13</v>
      </c>
      <c r="H30">
        <v>29</v>
      </c>
      <c r="I30">
        <f t="shared" si="0"/>
        <v>24029</v>
      </c>
      <c r="J30" t="s">
        <v>70</v>
      </c>
      <c r="K30" t="s">
        <v>71</v>
      </c>
      <c r="L30" t="str">
        <f>IF(OR(B30="",B30=0,D30="",D30=0,F30="",I30="",J30=""),"ERROR: Data wajib belum lengkap",IF(OR(B30&lt;1,B30&gt;12,D30&lt;1,D30&gt;31,AND(C30&lt;&gt;"",C30&lt;&gt;0,OR(C30&lt;1,C30&gt;12)),AND(E30&lt;&gt;"",E30&lt;&gt;0,OR(E30&lt;1,E30&gt;31))),"ERROR: Bulan atau hari tidak valid",IF(LEN(J30)&gt;39,"ERROR: Judul lebih dari 39 karakter","{""th"":"&amp;IF(A30="",0,A30)&amp;",""bm"":"&amp;B30&amp;",""bs"":"&amp;IF(OR(C30="",C30=0),B30,C30)&amp;",""hm"":"&amp;D30&amp;",""hs"":"&amp;IF(OR(E30="",E30=0),D30,E30)&amp;",""tp"":"&amp;F30&amp;IF(G30="","",",""sub"":"""&amp;SUBSTITUTE(SUBSTITUTE(LOWER(G30),CHAR(92),CHAR(92)&amp;CHAR(92)),CHAR(34),CHAR(92)&amp;CHAR(34))&amp;"""")&amp;",""id"":"&amp;I30&amp;",""jd"":"""&amp;SUBSTITUTE(SUBSTITUTE(J30,CHAR(92),CHAR(92)&amp;CHAR(92)),CHAR(34),CHAR(92)&amp;CHAR(34))&amp;"""}"&amp;IF(COUNTIF(I31:I$1000,"&lt;&gt;")&gt;0,",",""))))</f>
        <v>{"th":0,"bm":9,"bs":9,"hm":21,"hs":21,"tp":6,"sub":"un","id":24029,"jd":"International Day of Peace"},</v>
      </c>
      <c r="M30" t="str">
        <f>IF(OR(I30="",K30=""),"",""""&amp;I30&amp;""":{""ket"":"""&amp;SUBSTITUTE(SUBSTITUTE(SUBSTITUTE(SUBSTITUTE(K30,CHAR(92),CHAR(92)&amp;CHAR(92)),CHAR(34),CHAR(92)&amp;CHAR(34)),CHAR(13),""),CHAR(10),CHAR(92)&amp;"n")&amp;"""}"&amp;IF(COUNTIF(K31:K$1000,"&lt;&gt;")&gt;0,",",""))</f>
        <v>"24029":{"ket":"Established by UN resolution A/RES/36/67 as a day dedicated to strengthening the ideals of peace both within and among all nations and peoples, observed as a 24-hour period of global non-violence and cease-fire."},</v>
      </c>
    </row>
    <row r="31" spans="2:13" x14ac:dyDescent="0.25">
      <c r="B31">
        <v>9</v>
      </c>
      <c r="D31">
        <v>27</v>
      </c>
      <c r="F31">
        <v>6</v>
      </c>
      <c r="G31" t="s">
        <v>13</v>
      </c>
      <c r="H31">
        <v>30</v>
      </c>
      <c r="I31">
        <f t="shared" si="0"/>
        <v>24030</v>
      </c>
      <c r="J31" t="s">
        <v>72</v>
      </c>
      <c r="K31" t="s">
        <v>73</v>
      </c>
      <c r="L31" t="str">
        <f>IF(OR(B31="",B31=0,D31="",D31=0,F31="",I31="",J31=""),"ERROR: Data wajib belum lengkap",IF(OR(B31&lt;1,B31&gt;12,D31&lt;1,D31&gt;31,AND(C31&lt;&gt;"",C31&lt;&gt;0,OR(C31&lt;1,C31&gt;12)),AND(E31&lt;&gt;"",E31&lt;&gt;0,OR(E31&lt;1,E31&gt;31))),"ERROR: Bulan atau hari tidak valid",IF(LEN(J31)&gt;39,"ERROR: Judul lebih dari 39 karakter","{""th"":"&amp;IF(A31="",0,A31)&amp;",""bm"":"&amp;B31&amp;",""bs"":"&amp;IF(OR(C31="",C31=0),B31,C31)&amp;",""hm"":"&amp;D31&amp;",""hs"":"&amp;IF(OR(E31="",E31=0),D31,E31)&amp;",""tp"":"&amp;F31&amp;IF(G31="","",",""sub"":"""&amp;SUBSTITUTE(SUBSTITUTE(LOWER(G31),CHAR(92),CHAR(92)&amp;CHAR(92)),CHAR(34),CHAR(92)&amp;CHAR(34))&amp;"""")&amp;",""id"":"&amp;I31&amp;",""jd"":"""&amp;SUBSTITUTE(SUBSTITUTE(J31,CHAR(92),CHAR(92)&amp;CHAR(92)),CHAR(34),CHAR(92)&amp;CHAR(34))&amp;"""}"&amp;IF(COUNTIF(I32:I$1000,"&lt;&gt;")&gt;0,",",""))))</f>
        <v>{"th":0,"bm":9,"bs":9,"hm":27,"hs":27,"tp":6,"sub":"un","id":24030,"jd":"World Tourism Day"},</v>
      </c>
      <c r="M31" t="str">
        <f>IF(OR(I31="",K31=""),"",""""&amp;I31&amp;""":{""ket"":"""&amp;SUBSTITUTE(SUBSTITUTE(SUBSTITUTE(SUBSTITUTE(K31,CHAR(92),CHAR(92)&amp;CHAR(92)),CHAR(34),CHAR(92)&amp;CHAR(34)),CHAR(13),""),CHAR(10),CHAR(92)&amp;"n")&amp;"""}"&amp;IF(COUNTIF(K32:K$1000,"&lt;&gt;")&gt;0,",",""))</f>
        <v>"24030":{"ket":"Celebrated by UN Tourism (UNWTO) to foster awareness among the international community of the social, cultural, political, and economic value of sustainable global tourism."},</v>
      </c>
    </row>
    <row r="32" spans="2:13" x14ac:dyDescent="0.25">
      <c r="B32">
        <v>10</v>
      </c>
      <c r="D32">
        <v>2</v>
      </c>
      <c r="F32">
        <v>6</v>
      </c>
      <c r="G32" t="s">
        <v>13</v>
      </c>
      <c r="H32">
        <v>31</v>
      </c>
      <c r="I32">
        <f t="shared" si="0"/>
        <v>24031</v>
      </c>
      <c r="J32" t="s">
        <v>74</v>
      </c>
      <c r="K32" t="s">
        <v>75</v>
      </c>
      <c r="L32" t="str">
        <f>IF(OR(B32="",B32=0,D32="",D32=0,F32="",I32="",J32=""),"ERROR: Data wajib belum lengkap",IF(OR(B32&lt;1,B32&gt;12,D32&lt;1,D32&gt;31,AND(C32&lt;&gt;"",C32&lt;&gt;0,OR(C32&lt;1,C32&gt;12)),AND(E32&lt;&gt;"",E32&lt;&gt;0,OR(E32&lt;1,E32&gt;31))),"ERROR: Bulan atau hari tidak valid",IF(LEN(J32)&gt;39,"ERROR: Judul lebih dari 39 karakter","{""th"":"&amp;IF(A32="",0,A32)&amp;",""bm"":"&amp;B32&amp;",""bs"":"&amp;IF(OR(C32="",C32=0),B32,C32)&amp;",""hm"":"&amp;D32&amp;",""hs"":"&amp;IF(OR(E32="",E32=0),D32,E32)&amp;",""tp"":"&amp;F32&amp;IF(G32="","",",""sub"":"""&amp;SUBSTITUTE(SUBSTITUTE(LOWER(G32),CHAR(92),CHAR(92)&amp;CHAR(92)),CHAR(34),CHAR(92)&amp;CHAR(34))&amp;"""")&amp;",""id"":"&amp;I32&amp;",""jd"":"""&amp;SUBSTITUTE(SUBSTITUTE(J32,CHAR(92),CHAR(92)&amp;CHAR(92)),CHAR(34),CHAR(92)&amp;CHAR(34))&amp;"""}"&amp;IF(COUNTIF(I33:I$1000,"&lt;&gt;")&gt;0,",",""))))</f>
        <v>{"th":0,"bm":10,"bs":10,"hm":2,"hs":2,"tp":6,"sub":"un","id":24031,"jd":"International Day of Non-Violence"},</v>
      </c>
      <c r="M32" t="str">
        <f>IF(OR(I32="",K32=""),"",""""&amp;I32&amp;""":{""ket"":"""&amp;SUBSTITUTE(SUBSTITUTE(SUBSTITUTE(SUBSTITUTE(K32,CHAR(92),CHAR(92)&amp;CHAR(92)),CHAR(34),CHAR(92)&amp;CHAR(34)),CHAR(13),""),CHAR(10),CHAR(92)&amp;"n")&amp;"""}"&amp;IF(COUNTIF(K33:K$1000,"&lt;&gt;")&gt;0,",",""))</f>
        <v>"24031":{"ket":"Established by UN resolution A/RES/61/271 to disseminate the message of non-violence through education and public awareness, marking the birthday of Mahatma Gandhi, leader of the Indian independence movement."},</v>
      </c>
    </row>
    <row r="33" spans="2:13" x14ac:dyDescent="0.25">
      <c r="B33">
        <v>10</v>
      </c>
      <c r="D33">
        <v>5</v>
      </c>
      <c r="F33">
        <v>6</v>
      </c>
      <c r="G33" t="s">
        <v>13</v>
      </c>
      <c r="H33">
        <v>32</v>
      </c>
      <c r="I33">
        <f t="shared" si="0"/>
        <v>24032</v>
      </c>
      <c r="J33" t="s">
        <v>76</v>
      </c>
      <c r="K33" t="s">
        <v>77</v>
      </c>
      <c r="L33" t="str">
        <f>IF(OR(B33="",B33=0,D33="",D33=0,F33="",I33="",J33=""),"ERROR: Data wajib belum lengkap",IF(OR(B33&lt;1,B33&gt;12,D33&lt;1,D33&gt;31,AND(C33&lt;&gt;"",C33&lt;&gt;0,OR(C33&lt;1,C33&gt;12)),AND(E33&lt;&gt;"",E33&lt;&gt;0,OR(E33&lt;1,E33&gt;31))),"ERROR: Bulan atau hari tidak valid",IF(LEN(J33)&gt;39,"ERROR: Judul lebih dari 39 karakter","{""th"":"&amp;IF(A33="",0,A33)&amp;",""bm"":"&amp;B33&amp;",""bs"":"&amp;IF(OR(C33="",C33=0),B33,C33)&amp;",""hm"":"&amp;D33&amp;",""hs"":"&amp;IF(OR(E33="",E33=0),D33,E33)&amp;",""tp"":"&amp;F33&amp;IF(G33="","",",""sub"":"""&amp;SUBSTITUTE(SUBSTITUTE(LOWER(G33),CHAR(92),CHAR(92)&amp;CHAR(92)),CHAR(34),CHAR(92)&amp;CHAR(34))&amp;"""")&amp;",""id"":"&amp;I33&amp;",""jd"":"""&amp;SUBSTITUTE(SUBSTITUTE(J33,CHAR(92),CHAR(92)&amp;CHAR(92)),CHAR(34),CHAR(92)&amp;CHAR(34))&amp;"""}"&amp;IF(COUNTIF(I34:I$1000,"&lt;&gt;")&gt;0,",",""))))</f>
        <v>{"th":0,"bm":10,"bs":10,"hm":5,"hs":5,"tp":6,"sub":"un","id":24032,"jd":"World Teachers' Day"},</v>
      </c>
      <c r="M33" t="str">
        <f>IF(OR(I33="",K33=""),"",""""&amp;I33&amp;""":{""ket"":"""&amp;SUBSTITUTE(SUBSTITUTE(SUBSTITUTE(SUBSTITUTE(K33,CHAR(92),CHAR(92)&amp;CHAR(92)),CHAR(34),CHAR(92)&amp;CHAR(34)),CHAR(13),""),CHAR(10),CHAR(92)&amp;"n")&amp;"""}"&amp;IF(COUNTIF(K34:K$1000,"&lt;&gt;")&gt;0,",",""))</f>
        <v>"24032":{"ket":"Inaugurated by UNESCO and ILO to commemorate the adoption of the 1966 Recommendation concerning the Status of Teachers, celebrating the vital role and deep contributions of educators globally."},</v>
      </c>
    </row>
    <row r="34" spans="2:13" x14ac:dyDescent="0.25">
      <c r="B34">
        <v>10</v>
      </c>
      <c r="D34">
        <v>10</v>
      </c>
      <c r="F34">
        <v>6</v>
      </c>
      <c r="G34" t="s">
        <v>13</v>
      </c>
      <c r="H34">
        <v>33</v>
      </c>
      <c r="I34">
        <f t="shared" si="0"/>
        <v>24033</v>
      </c>
      <c r="J34" t="s">
        <v>78</v>
      </c>
      <c r="K34" t="s">
        <v>79</v>
      </c>
      <c r="L34" t="str">
        <f>IF(OR(B34="",B34=0,D34="",D34=0,F34="",I34="",J34=""),"ERROR: Data wajib belum lengkap",IF(OR(B34&lt;1,B34&gt;12,D34&lt;1,D34&gt;31,AND(C34&lt;&gt;"",C34&lt;&gt;0,OR(C34&lt;1,C34&gt;12)),AND(E34&lt;&gt;"",E34&lt;&gt;0,OR(E34&lt;1,E34&gt;31))),"ERROR: Bulan atau hari tidak valid",IF(LEN(J34)&gt;39,"ERROR: Judul lebih dari 39 karakter","{""th"":"&amp;IF(A34="",0,A34)&amp;",""bm"":"&amp;B34&amp;",""bs"":"&amp;IF(OR(C34="",C34=0),B34,C34)&amp;",""hm"":"&amp;D34&amp;",""hs"":"&amp;IF(OR(E34="",E34=0),D34,E34)&amp;",""tp"":"&amp;F34&amp;IF(G34="","",",""sub"":"""&amp;SUBSTITUTE(SUBSTITUTE(LOWER(G34),CHAR(92),CHAR(92)&amp;CHAR(92)),CHAR(34),CHAR(92)&amp;CHAR(34))&amp;"""")&amp;",""id"":"&amp;I34&amp;",""jd"":"""&amp;SUBSTITUTE(SUBSTITUTE(J34,CHAR(92),CHAR(92)&amp;CHAR(92)),CHAR(34),CHAR(92)&amp;CHAR(34))&amp;"""}"&amp;IF(COUNTIF(I35:I$1000,"&lt;&gt;")&gt;0,",",""))))</f>
        <v>{"th":0,"bm":10,"bs":10,"hm":10,"hs":10,"tp":6,"sub":"un","id":24033,"jd":"World Mental Health Day"},</v>
      </c>
      <c r="M34" t="str">
        <f>IF(OR(I34="",K34=""),"",""""&amp;I34&amp;""":{""ket"":"""&amp;SUBSTITUTE(SUBSTITUTE(SUBSTITUTE(SUBSTITUTE(K34,CHAR(92),CHAR(92)&amp;CHAR(92)),CHAR(34),CHAR(92)&amp;CHAR(34)),CHAR(13),""),CHAR(10),CHAR(92)&amp;"n")&amp;"""}"&amp;IF(COUNTIF(K35:K$1000,"&lt;&gt;")&gt;0,",",""))</f>
        <v>"24033":{"ket":"Supported by the WHO and the World Federation for Mental Health (WFMH) to raise awareness of mental health issues around the world and to mobilize efforts in support of better psychiatric care and psychological well-being."},</v>
      </c>
    </row>
    <row r="35" spans="2:13" x14ac:dyDescent="0.25">
      <c r="B35">
        <v>10</v>
      </c>
      <c r="D35">
        <v>16</v>
      </c>
      <c r="F35">
        <v>6</v>
      </c>
      <c r="G35" t="s">
        <v>13</v>
      </c>
      <c r="H35">
        <v>34</v>
      </c>
      <c r="I35">
        <f t="shared" si="0"/>
        <v>24034</v>
      </c>
      <c r="J35" t="s">
        <v>80</v>
      </c>
      <c r="K35" t="s">
        <v>81</v>
      </c>
      <c r="L35" t="str">
        <f>IF(OR(B35="",B35=0,D35="",D35=0,F35="",I35="",J35=""),"ERROR: Data wajib belum lengkap",IF(OR(B35&lt;1,B35&gt;12,D35&lt;1,D35&gt;31,AND(C35&lt;&gt;"",C35&lt;&gt;0,OR(C35&lt;1,C35&gt;12)),AND(E35&lt;&gt;"",E35&lt;&gt;0,OR(E35&lt;1,E35&gt;31))),"ERROR: Bulan atau hari tidak valid",IF(LEN(J35)&gt;39,"ERROR: Judul lebih dari 39 karakter","{""th"":"&amp;IF(A35="",0,A35)&amp;",""bm"":"&amp;B35&amp;",""bs"":"&amp;IF(OR(C35="",C35=0),B35,C35)&amp;",""hm"":"&amp;D35&amp;",""hs"":"&amp;IF(OR(E35="",E35=0),D35,E35)&amp;",""tp"":"&amp;F35&amp;IF(G35="","",",""sub"":"""&amp;SUBSTITUTE(SUBSTITUTE(LOWER(G35),CHAR(92),CHAR(92)&amp;CHAR(92)),CHAR(34),CHAR(92)&amp;CHAR(34))&amp;"""")&amp;",""id"":"&amp;I35&amp;",""jd"":"""&amp;SUBSTITUTE(SUBSTITUTE(J35,CHAR(92),CHAR(92)&amp;CHAR(92)),CHAR(34),CHAR(92)&amp;CHAR(34))&amp;"""}"&amp;IF(COUNTIF(I36:I$1000,"&lt;&gt;")&gt;0,",",""))))</f>
        <v>{"th":0,"bm":10,"bs":10,"hm":16,"hs":16,"tp":6,"sub":"un","id":24034,"jd":"World Food Day"},</v>
      </c>
      <c r="M35" t="str">
        <f>IF(OR(I35="",K35=""),"",""""&amp;I35&amp;""":{""ket"":"""&amp;SUBSTITUTE(SUBSTITUTE(SUBSTITUTE(SUBSTITUTE(K35,CHAR(92),CHAR(92)&amp;CHAR(92)),CHAR(34),CHAR(92)&amp;CHAR(34)),CHAR(13),""),CHAR(10),CHAR(92)&amp;"n")&amp;"""}"&amp;IF(COUNTIF(K36:K$1000,"&lt;&gt;")&gt;0,",",""))</f>
        <v>"24034":{"ket":"Observed to mark the founding of the Food and Agriculture Organization (FAO) of the United Nations in 1945, aiming to heighten global collective action to eliminate hunger and ensure food security for all."},</v>
      </c>
    </row>
    <row r="36" spans="2:13" x14ac:dyDescent="0.25">
      <c r="B36">
        <v>10</v>
      </c>
      <c r="D36">
        <v>24</v>
      </c>
      <c r="F36">
        <v>6</v>
      </c>
      <c r="G36" t="s">
        <v>13</v>
      </c>
      <c r="H36">
        <v>35</v>
      </c>
      <c r="I36">
        <f t="shared" si="0"/>
        <v>24035</v>
      </c>
      <c r="J36" t="s">
        <v>82</v>
      </c>
      <c r="K36" t="s">
        <v>83</v>
      </c>
      <c r="L36" t="str">
        <f>IF(OR(B36="",B36=0,D36="",D36=0,F36="",I36="",J36=""),"ERROR: Data wajib belum lengkap",IF(OR(B36&lt;1,B36&gt;12,D36&lt;1,D36&gt;31,AND(C36&lt;&gt;"",C36&lt;&gt;0,OR(C36&lt;1,C36&gt;12)),AND(E36&lt;&gt;"",E36&lt;&gt;0,OR(E36&lt;1,E36&gt;31))),"ERROR: Bulan atau hari tidak valid",IF(LEN(J36)&gt;39,"ERROR: Judul lebih dari 39 karakter","{""th"":"&amp;IF(A36="",0,A36)&amp;",""bm"":"&amp;B36&amp;",""bs"":"&amp;IF(OR(C36="",C36=0),B36,C36)&amp;",""hm"":"&amp;D36&amp;",""hs"":"&amp;IF(OR(E36="",E36=0),D36,E36)&amp;",""tp"":"&amp;F36&amp;IF(G36="","",",""sub"":"""&amp;SUBSTITUTE(SUBSTITUTE(LOWER(G36),CHAR(92),CHAR(92)&amp;CHAR(92)),CHAR(34),CHAR(92)&amp;CHAR(34))&amp;"""")&amp;",""id"":"&amp;I36&amp;",""jd"":"""&amp;SUBSTITUTE(SUBSTITUTE(J36,CHAR(92),CHAR(92)&amp;CHAR(92)),CHAR(34),CHAR(92)&amp;CHAR(34))&amp;"""}"&amp;IF(COUNTIF(I37:I$1000,"&lt;&gt;")&gt;0,",",""))))</f>
        <v>{"th":0,"bm":10,"bs":10,"hm":24,"hs":24,"tp":6,"sub":"un","id":24035,"jd":"United Nations Day"},</v>
      </c>
      <c r="M36" t="str">
        <f>IF(OR(I36="",K36=""),"",""""&amp;I36&amp;""":{""ket"":"""&amp;SUBSTITUTE(SUBSTITUTE(SUBSTITUTE(SUBSTITUTE(K36,CHAR(92),CHAR(92)&amp;CHAR(92)),CHAR(34),CHAR(92)&amp;CHAR(34)),CHAR(13),""),CHAR(10),CHAR(92)&amp;"n")&amp;"""}"&amp;IF(COUNTIF(K37:K$1000,"&lt;&gt;")&gt;0,",",""))</f>
        <v>"24035":{"ket":"Commemorates the official anniversary of the entry into force of the UN Charter on October 24, 1945, celebrating the collective commitment of the international body to maintain global peace and security."},</v>
      </c>
    </row>
    <row r="37" spans="2:13" x14ac:dyDescent="0.25">
      <c r="B37">
        <v>11</v>
      </c>
      <c r="D37">
        <v>14</v>
      </c>
      <c r="F37">
        <v>6</v>
      </c>
      <c r="G37" t="s">
        <v>13</v>
      </c>
      <c r="H37">
        <v>36</v>
      </c>
      <c r="I37">
        <f t="shared" si="0"/>
        <v>24036</v>
      </c>
      <c r="J37" t="s">
        <v>84</v>
      </c>
      <c r="K37" t="s">
        <v>85</v>
      </c>
      <c r="L37" t="str">
        <f>IF(OR(B37="",B37=0,D37="",D37=0,F37="",I37="",J37=""),"ERROR: Data wajib belum lengkap",IF(OR(B37&lt;1,B37&gt;12,D37&lt;1,D37&gt;31,AND(C37&lt;&gt;"",C37&lt;&gt;0,OR(C37&lt;1,C37&gt;12)),AND(E37&lt;&gt;"",E37&lt;&gt;0,OR(E37&lt;1,E37&gt;31))),"ERROR: Bulan atau hari tidak valid",IF(LEN(J37)&gt;39,"ERROR: Judul lebih dari 39 karakter","{""th"":"&amp;IF(A37="",0,A37)&amp;",""bm"":"&amp;B37&amp;",""bs"":"&amp;IF(OR(C37="",C37=0),B37,C37)&amp;",""hm"":"&amp;D37&amp;",""hs"":"&amp;IF(OR(E37="",E37=0),D37,E37)&amp;",""tp"":"&amp;F37&amp;IF(G37="","",",""sub"":"""&amp;SUBSTITUTE(SUBSTITUTE(LOWER(G37),CHAR(92),CHAR(92)&amp;CHAR(92)),CHAR(34),CHAR(92)&amp;CHAR(34))&amp;"""")&amp;",""id"":"&amp;I37&amp;",""jd"":"""&amp;SUBSTITUTE(SUBSTITUTE(J37,CHAR(92),CHAR(92)&amp;CHAR(92)),CHAR(34),CHAR(92)&amp;CHAR(34))&amp;"""}"&amp;IF(COUNTIF(I38:I$1000,"&lt;&gt;")&gt;0,",",""))))</f>
        <v>{"th":0,"bm":11,"bs":11,"hm":14,"hs":14,"tp":6,"sub":"un","id":24036,"jd":"World Diabetes Day"},</v>
      </c>
      <c r="M37" t="str">
        <f>IF(OR(I37="",K37=""),"",""""&amp;I37&amp;""":{""ket"":"""&amp;SUBSTITUTE(SUBSTITUTE(SUBSTITUTE(SUBSTITUTE(K37,CHAR(92),CHAR(92)&amp;CHAR(92)),CHAR(34),CHAR(92)&amp;CHAR(34)),CHAR(13),""),CHAR(10),CHAR(92)&amp;"n")&amp;"""}"&amp;IF(COUNTIF(K38:K$1000,"&lt;&gt;")&gt;0,",",""))</f>
        <v>"24036":{"ket":"Recognized as an official UN day via resolution A/RES/61/225 to address the global diabetes epidemic and its severe impact on public health systems, marking the birthday of insulin co-discoverer Frederick Banting."},</v>
      </c>
    </row>
    <row r="38" spans="2:13" x14ac:dyDescent="0.25">
      <c r="B38">
        <v>11</v>
      </c>
      <c r="D38">
        <v>16</v>
      </c>
      <c r="F38">
        <v>6</v>
      </c>
      <c r="G38" t="s">
        <v>13</v>
      </c>
      <c r="H38">
        <v>37</v>
      </c>
      <c r="I38">
        <f t="shared" si="0"/>
        <v>24037</v>
      </c>
      <c r="J38" t="s">
        <v>86</v>
      </c>
      <c r="K38" t="s">
        <v>87</v>
      </c>
      <c r="L38" t="str">
        <f>IF(OR(B38="",B38=0,D38="",D38=0,F38="",I38="",J38=""),"ERROR: Data wajib belum lengkap",IF(OR(B38&lt;1,B38&gt;12,D38&lt;1,D38&gt;31,AND(C38&lt;&gt;"",C38&lt;&gt;0,OR(C38&lt;1,C38&gt;12)),AND(E38&lt;&gt;"",E38&lt;&gt;0,OR(E38&lt;1,E38&gt;31))),"ERROR: Bulan atau hari tidak valid",IF(LEN(J38)&gt;39,"ERROR: Judul lebih dari 39 karakter","{""th"":"&amp;IF(A38="",0,A38)&amp;",""bm"":"&amp;B38&amp;",""bs"":"&amp;IF(OR(C38="",C38=0),B38,C38)&amp;",""hm"":"&amp;D38&amp;",""hs"":"&amp;IF(OR(E38="",E38=0),D38,E38)&amp;",""tp"":"&amp;F38&amp;IF(G38="","",",""sub"":"""&amp;SUBSTITUTE(SUBSTITUTE(LOWER(G38),CHAR(92),CHAR(92)&amp;CHAR(92)),CHAR(34),CHAR(92)&amp;CHAR(34))&amp;"""")&amp;",""id"":"&amp;I38&amp;",""jd"":"""&amp;SUBSTITUTE(SUBSTITUTE(J38,CHAR(92),CHAR(92)&amp;CHAR(92)),CHAR(34),CHAR(92)&amp;CHAR(34))&amp;"""}"&amp;IF(COUNTIF(I39:I$1000,"&lt;&gt;")&gt;0,",",""))))</f>
        <v>{"th":0,"bm":11,"bs":11,"hm":16,"hs":16,"tp":6,"sub":"un","id":24037,"jd":"International Day for Tolerance"},</v>
      </c>
      <c r="M38" t="str">
        <f>IF(OR(I38="",K38=""),"",""""&amp;I38&amp;""":{""ket"":"""&amp;SUBSTITUTE(SUBSTITUTE(SUBSTITUTE(SUBSTITUTE(K38,CHAR(92),CHAR(92)&amp;CHAR(92)),CHAR(34),CHAR(92)&amp;CHAR(34)),CHAR(13),""),CHAR(10),CHAR(92)&amp;"n")&amp;"""}"&amp;IF(COUNTIF(K39:K$1000,"&lt;&gt;")&gt;0,",",""))</f>
        <v>"24037":{"ket":"Established by the UN General Assembly following UNESCO's 1995 Declaration of Principles on Tolerance, aiming to educate the public on the necessity of respecting diverse cultures, expressions, and human beliefs."},</v>
      </c>
    </row>
    <row r="39" spans="2:13" x14ac:dyDescent="0.25">
      <c r="B39">
        <v>11</v>
      </c>
      <c r="D39">
        <v>20</v>
      </c>
      <c r="F39">
        <v>6</v>
      </c>
      <c r="G39" t="s">
        <v>13</v>
      </c>
      <c r="H39">
        <v>38</v>
      </c>
      <c r="I39">
        <f t="shared" si="0"/>
        <v>24038</v>
      </c>
      <c r="J39" t="s">
        <v>88</v>
      </c>
      <c r="K39" t="s">
        <v>89</v>
      </c>
      <c r="L39" t="str">
        <f>IF(OR(B39="",B39=0,D39="",D39=0,F39="",I39="",J39=""),"ERROR: Data wajib belum lengkap",IF(OR(B39&lt;1,B39&gt;12,D39&lt;1,D39&gt;31,AND(C39&lt;&gt;"",C39&lt;&gt;0,OR(C39&lt;1,C39&gt;12)),AND(E39&lt;&gt;"",E39&lt;&gt;0,OR(E39&lt;1,E39&gt;31))),"ERROR: Bulan atau hari tidak valid",IF(LEN(J39)&gt;39,"ERROR: Judul lebih dari 39 karakter","{""th"":"&amp;IF(A39="",0,A39)&amp;",""bm"":"&amp;B39&amp;",""bs"":"&amp;IF(OR(C39="",C39=0),B39,C39)&amp;",""hm"":"&amp;D39&amp;",""hs"":"&amp;IF(OR(E39="",E39=0),D39,E39)&amp;",""tp"":"&amp;F39&amp;IF(G39="","",",""sub"":"""&amp;SUBSTITUTE(SUBSTITUTE(LOWER(G39),CHAR(92),CHAR(92)&amp;CHAR(92)),CHAR(34),CHAR(92)&amp;CHAR(34))&amp;"""")&amp;",""id"":"&amp;I39&amp;",""jd"":"""&amp;SUBSTITUTE(SUBSTITUTE(J39,CHAR(92),CHAR(92)&amp;CHAR(92)),CHAR(34),CHAR(92)&amp;CHAR(34))&amp;"""}"&amp;IF(COUNTIF(I40:I$1000,"&lt;&gt;")&gt;0,",",""))))</f>
        <v>{"th":0,"bm":11,"bs":11,"hm":20,"hs":20,"tp":6,"sub":"un","id":24038,"jd":"World Children's Day"},</v>
      </c>
      <c r="M39" t="str">
        <f>IF(OR(I39="",K39=""),"",""""&amp;I39&amp;""":{""ket"":"""&amp;SUBSTITUTE(SUBSTITUTE(SUBSTITUTE(SUBSTITUTE(K39,CHAR(92),CHAR(92)&amp;CHAR(92)),CHAR(34),CHAR(92)&amp;CHAR(34)),CHAR(13),""),CHAR(10),CHAR(92)&amp;"n")&amp;"""}"&amp;IF(COUNTIF(K40:K$1000,"&lt;&gt;")&gt;0,",",""))</f>
        <v>"24038":{"ket":"Established by the UN to commemorate the Declaration of the Rights of the Child (1959) and the Convention on the Rights of the Child (1989), focusing on promoting child welfare and international togetherness."},</v>
      </c>
    </row>
    <row r="40" spans="2:13" x14ac:dyDescent="0.25">
      <c r="B40">
        <v>12</v>
      </c>
      <c r="D40">
        <v>1</v>
      </c>
      <c r="F40">
        <v>6</v>
      </c>
      <c r="G40" t="s">
        <v>13</v>
      </c>
      <c r="H40">
        <v>39</v>
      </c>
      <c r="I40">
        <f t="shared" si="0"/>
        <v>24039</v>
      </c>
      <c r="J40" t="s">
        <v>90</v>
      </c>
      <c r="K40" t="s">
        <v>91</v>
      </c>
      <c r="L40" t="str">
        <f>IF(OR(B40="",B40=0,D40="",D40=0,F40="",I40="",J40=""),"ERROR: Data wajib belum lengkap",IF(OR(B40&lt;1,B40&gt;12,D40&lt;1,D40&gt;31,AND(C40&lt;&gt;"",C40&lt;&gt;0,OR(C40&lt;1,C40&gt;12)),AND(E40&lt;&gt;"",E40&lt;&gt;0,OR(E40&lt;1,E40&gt;31))),"ERROR: Bulan atau hari tidak valid",IF(LEN(J40)&gt;39,"ERROR: Judul lebih dari 39 karakter","{""th"":"&amp;IF(A40="",0,A40)&amp;",""bm"":"&amp;B40&amp;",""bs"":"&amp;IF(OR(C40="",C40=0),B40,C40)&amp;",""hm"":"&amp;D40&amp;",""hs"":"&amp;IF(OR(E40="",E40=0),D40,E40)&amp;",""tp"":"&amp;F40&amp;IF(G40="","",",""sub"":"""&amp;SUBSTITUTE(SUBSTITUTE(LOWER(G40),CHAR(92),CHAR(92)&amp;CHAR(92)),CHAR(34),CHAR(92)&amp;CHAR(34))&amp;"""")&amp;",""id"":"&amp;I40&amp;",""jd"":"""&amp;SUBSTITUTE(SUBSTITUTE(J40,CHAR(92),CHAR(92)&amp;CHAR(92)),CHAR(34),CHAR(92)&amp;CHAR(34))&amp;"""}"&amp;IF(COUNTIF(I41:I$1000,"&lt;&gt;")&gt;0,",",""))))</f>
        <v>{"th":0,"bm":12,"bs":12,"hm":1,"hs":1,"tp":6,"sub":"un","id":24039,"jd":"World AIDS Day"},</v>
      </c>
      <c r="M40" t="str">
        <f>IF(OR(I40="",K40=""),"",""""&amp;I40&amp;""":{""ket"":"""&amp;SUBSTITUTE(SUBSTITUTE(SUBSTITUTE(SUBSTITUTE(K40,CHAR(92),CHAR(92)&amp;CHAR(92)),CHAR(34),CHAR(92)&amp;CHAR(34)),CHAR(13),""),CHAR(10),CHAR(92)&amp;"n")&amp;"""}"&amp;IF(COUNTIF(K41:K$1000,"&lt;&gt;")&gt;0,",",""))</f>
        <v>"24039":{"ket":"An international campaign supported by UNAIDS since 1988 to raise public awareness about HIV/AIDS, show solidarity with people living with the virus, and honor those who have lost their lives to the epidemic."},</v>
      </c>
    </row>
    <row r="41" spans="2:13" x14ac:dyDescent="0.25">
      <c r="B41">
        <v>12</v>
      </c>
      <c r="D41">
        <v>3</v>
      </c>
      <c r="F41">
        <v>6</v>
      </c>
      <c r="G41" t="s">
        <v>13</v>
      </c>
      <c r="H41">
        <v>40</v>
      </c>
      <c r="I41">
        <f t="shared" si="0"/>
        <v>24040</v>
      </c>
      <c r="J41" t="s">
        <v>92</v>
      </c>
      <c r="K41" t="s">
        <v>93</v>
      </c>
      <c r="L41" t="str">
        <f>IF(OR(B41="",B41=0,D41="",D41=0,F41="",I41="",J41=""),"ERROR: Data wajib belum lengkap",IF(OR(B41&lt;1,B41&gt;12,D41&lt;1,D41&gt;31,AND(C41&lt;&gt;"",C41&lt;&gt;0,OR(C41&lt;1,C41&gt;12)),AND(E41&lt;&gt;"",E41&lt;&gt;0,OR(E41&lt;1,E41&gt;31))),"ERROR: Bulan atau hari tidak valid",IF(LEN(J41)&gt;39,"ERROR: Judul lebih dari 39 karakter","{""th"":"&amp;IF(A41="",0,A41)&amp;",""bm"":"&amp;B41&amp;",""bs"":"&amp;IF(OR(C41="",C41=0),B41,C41)&amp;",""hm"":"&amp;D41&amp;",""hs"":"&amp;IF(OR(E41="",E41=0),D41,E41)&amp;",""tp"":"&amp;F41&amp;IF(G41="","",",""sub"":"""&amp;SUBSTITUTE(SUBSTITUTE(LOWER(G41),CHAR(92),CHAR(92)&amp;CHAR(92)),CHAR(34),CHAR(92)&amp;CHAR(34))&amp;"""")&amp;",""id"":"&amp;I41&amp;",""jd"":"""&amp;SUBSTITUTE(SUBSTITUTE(J41,CHAR(92),CHAR(92)&amp;CHAR(92)),CHAR(34),CHAR(92)&amp;CHAR(34))&amp;"""}"&amp;IF(COUNTIF(I42:I$1000,"&lt;&gt;")&gt;0,",",""))))</f>
        <v>{"th":0,"bm":12,"bs":12,"hm":3,"hs":3,"tp":6,"sub":"un","id":24040,"jd":"Intl. Day of People with Disabilities"},</v>
      </c>
      <c r="M41" t="str">
        <f>IF(OR(I41="",K41=""),"",""""&amp;I41&amp;""":{""ket"":"""&amp;SUBSTITUTE(SUBSTITUTE(SUBSTITUTE(SUBSTITUTE(K41,CHAR(92),CHAR(92)&amp;CHAR(92)),CHAR(34),CHAR(92)&amp;CHAR(34)),CHAR(13),""),CHAR(10),CHAR(92)&amp;"n")&amp;"""}"&amp;IF(COUNTIF(K42:K$1000,"&lt;&gt;")&gt;0,",",""))</f>
        <v>"24040":{"ket":"Proclaimed by UN resolution A/RES/47/3 to promote the rights, full well-being, and absolute inclusivity of persons with disabilities in all spheres of societal development."},</v>
      </c>
    </row>
    <row r="42" spans="2:13" x14ac:dyDescent="0.25">
      <c r="B42">
        <v>12</v>
      </c>
      <c r="D42">
        <v>10</v>
      </c>
      <c r="F42">
        <v>6</v>
      </c>
      <c r="G42" t="s">
        <v>13</v>
      </c>
      <c r="H42">
        <v>41</v>
      </c>
      <c r="I42">
        <f t="shared" si="0"/>
        <v>24041</v>
      </c>
      <c r="J42" t="s">
        <v>94</v>
      </c>
      <c r="K42" t="s">
        <v>95</v>
      </c>
      <c r="L42" t="str">
        <f>IF(OR(B42="",B42=0,D42="",D42=0,F42="",I42="",J42=""),"ERROR: Data wajib belum lengkap",IF(OR(B42&lt;1,B42&gt;12,D42&lt;1,D42&gt;31,AND(C42&lt;&gt;"",C42&lt;&gt;0,OR(C42&lt;1,C42&gt;12)),AND(E42&lt;&gt;"",E42&lt;&gt;0,OR(E42&lt;1,E42&gt;31))),"ERROR: Bulan atau hari tidak valid",IF(LEN(J42)&gt;39,"ERROR: Judul lebih dari 39 karakter","{""th"":"&amp;IF(A42="",0,A42)&amp;",""bm"":"&amp;B42&amp;",""bs"":"&amp;IF(OR(C42="",C42=0),B42,C42)&amp;",""hm"":"&amp;D42&amp;",""hs"":"&amp;IF(OR(E42="",E42=0),D42,E42)&amp;",""tp"":"&amp;F42&amp;IF(G42="","",",""sub"":"""&amp;SUBSTITUTE(SUBSTITUTE(LOWER(G42),CHAR(92),CHAR(92)&amp;CHAR(92)),CHAR(34),CHAR(92)&amp;CHAR(34))&amp;"""")&amp;",""id"":"&amp;I42&amp;",""jd"":"""&amp;SUBSTITUTE(SUBSTITUTE(J42,CHAR(92),CHAR(92)&amp;CHAR(92)),CHAR(34),CHAR(92)&amp;CHAR(34))&amp;"""}"&amp;IF(COUNTIF(I43:I$1000,"&lt;&gt;")&gt;0,",",""))))</f>
        <v>{"th":0,"bm":12,"bs":12,"hm":10,"hs":10,"tp":6,"sub":"un","id":24041,"jd":"Human Rights Day"}</v>
      </c>
      <c r="M42" t="str">
        <f>IF(OR(I42="",K42=""),"",""""&amp;I42&amp;""":{""ket"":"""&amp;SUBSTITUTE(SUBSTITUTE(SUBSTITUTE(SUBSTITUTE(K42,CHAR(92),CHAR(92)&amp;CHAR(92)),CHAR(34),CHAR(92)&amp;CHAR(34)),CHAR(13),""),CHAR(10),CHAR(92)&amp;"n")&amp;"""}"&amp;IF(COUNTIF(K43:K$1000,"&lt;&gt;")&gt;0,",",""))</f>
        <v>"24041":{"ket":"Commemorates the historic day on December 10, 1948, when the United Nations General Assembly adopted the Universal Declaration of Human Rights (UDHR) as the common standard of protection for all human beings."}</v>
      </c>
    </row>
  </sheetData>
  <conditionalFormatting sqref="I2:I42">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 INT UN 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Bary Baratha</dc:creator>
  <cp:lastModifiedBy>Rama Bary Baratha</cp:lastModifiedBy>
  <dcterms:created xsi:type="dcterms:W3CDTF">2026-06-30T17:53:07Z</dcterms:created>
  <dcterms:modified xsi:type="dcterms:W3CDTF">2026-06-30T17:53:50Z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2026-06-30T17:53:36Z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0e48f9d7-2701-4b80-bb71-211bde24768a</vt:lpwstr>
  </property>
  <property fmtid="{D5CDD505-2E9C-101B-9397-08002B2CF9AE}" pid="7" name="MSIP_Label_defa4170-0d19-0005-0004-bc88714345d2_ActionId">
    <vt:lpwstr>225bc939-8d6e-4f5d-83c6-2bbd197a0157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